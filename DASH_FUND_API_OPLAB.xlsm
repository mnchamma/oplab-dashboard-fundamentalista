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MM\"/>
    </mc:Choice>
  </mc:AlternateContent>
  <xr:revisionPtr revIDLastSave="0" documentId="13_ncr:1_{52871D6B-BB71-4F8D-AEE4-7067613144E5}" xr6:coauthVersionLast="47" xr6:coauthVersionMax="47" xr10:uidLastSave="{00000000-0000-0000-0000-000000000000}"/>
  <bookViews>
    <workbookView xWindow="-120" yWindow="-120" windowWidth="29040" windowHeight="15720" xr2:uid="{EDDB82A8-48BC-481A-B9A3-9073B560FC2B}"/>
  </bookViews>
  <sheets>
    <sheet name="DASHBOARD" sheetId="2" r:id="rId1"/>
  </sheets>
  <functionGroups builtInGroupCount="19"/>
  <definedNames>
    <definedName name="_xlchart.v1.0" hidden="1">DASHBOARD!$B$12:$B$14</definedName>
    <definedName name="_xlchart.v1.1" hidden="1">DASHBOARD!$D$12:$D$14</definedName>
    <definedName name="_xlnm.Print_Area" localSheetId="0">DASHBOARD!$A$1:$S$44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46" i="2" l="1"/>
  <c r="S47" i="2"/>
  <c r="S48" i="2"/>
  <c r="AE15" i="2"/>
  <c r="AF15" i="2"/>
  <c r="AD15" i="2"/>
  <c r="AB15" i="2"/>
  <c r="AC15" i="2"/>
  <c r="AA15" i="2"/>
  <c r="Y15" i="2"/>
  <c r="Z15" i="2"/>
  <c r="X15" i="2"/>
  <c r="W15" i="2"/>
  <c r="V15" i="2"/>
  <c r="U15" i="2"/>
  <c r="S45" i="2"/>
  <c r="AE5" i="2"/>
  <c r="AF5" i="2"/>
  <c r="AE6" i="2"/>
  <c r="AF6" i="2"/>
  <c r="AE7" i="2"/>
  <c r="AF7" i="2"/>
  <c r="AE8" i="2"/>
  <c r="AF8" i="2"/>
  <c r="AE9" i="2"/>
  <c r="AF9" i="2"/>
  <c r="AE10" i="2"/>
  <c r="AF10" i="2"/>
  <c r="AE11" i="2"/>
  <c r="AF11" i="2"/>
  <c r="AE12" i="2"/>
  <c r="AF12" i="2"/>
  <c r="AE13" i="2"/>
  <c r="AF13" i="2"/>
  <c r="AE14" i="2"/>
  <c r="AF14" i="2"/>
  <c r="AB5" i="2"/>
  <c r="AC5" i="2"/>
  <c r="AB6" i="2"/>
  <c r="AC6" i="2"/>
  <c r="AB7" i="2"/>
  <c r="AC7" i="2"/>
  <c r="AB8" i="2"/>
  <c r="AC8" i="2"/>
  <c r="AB9" i="2"/>
  <c r="AC9" i="2"/>
  <c r="AB10" i="2"/>
  <c r="AC10" i="2"/>
  <c r="AB11" i="2"/>
  <c r="AC11" i="2"/>
  <c r="AB12" i="2"/>
  <c r="AC12" i="2"/>
  <c r="AB13" i="2"/>
  <c r="AC13" i="2"/>
  <c r="AB14" i="2"/>
  <c r="AC1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V5" i="2"/>
  <c r="W5" i="2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AD14" i="2"/>
  <c r="AD13" i="2"/>
  <c r="AD12" i="2"/>
  <c r="AD11" i="2"/>
  <c r="AD10" i="2"/>
  <c r="AD9" i="2"/>
  <c r="AD8" i="2"/>
  <c r="AD7" i="2"/>
  <c r="AD6" i="2"/>
  <c r="AD5" i="2"/>
  <c r="AA14" i="2"/>
  <c r="AA13" i="2"/>
  <c r="AA12" i="2"/>
  <c r="AA11" i="2"/>
  <c r="AA10" i="2"/>
  <c r="AA9" i="2"/>
  <c r="AA8" i="2"/>
  <c r="AA7" i="2"/>
  <c r="AA6" i="2"/>
  <c r="AA5" i="2"/>
  <c r="X14" i="2"/>
  <c r="X13" i="2"/>
  <c r="X12" i="2"/>
  <c r="X11" i="2"/>
  <c r="X10" i="2"/>
  <c r="X9" i="2"/>
  <c r="X8" i="2"/>
  <c r="X7" i="2"/>
  <c r="X6" i="2"/>
  <c r="X5" i="2"/>
  <c r="U14" i="2"/>
  <c r="U13" i="2"/>
  <c r="U12" i="2"/>
  <c r="U11" i="2"/>
  <c r="U10" i="2"/>
  <c r="U9" i="2"/>
  <c r="U8" i="2"/>
  <c r="U7" i="2"/>
  <c r="U6" i="2"/>
  <c r="U5" i="2"/>
  <c r="H20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9" i="2"/>
  <c r="E13" i="2"/>
  <c r="E14" i="2"/>
  <c r="E12" i="2"/>
  <c r="E9" i="2"/>
  <c r="E7" i="2"/>
  <c r="E8" i="2"/>
  <c r="E6" i="2"/>
  <c r="H19" i="2" l="1"/>
</calcChain>
</file>

<file path=xl/sharedStrings.xml><?xml version="1.0" encoding="utf-8"?>
<sst xmlns="http://schemas.openxmlformats.org/spreadsheetml/2006/main" count="83" uniqueCount="78">
  <si>
    <t>EBIT</t>
  </si>
  <si>
    <t>RECEITA</t>
  </si>
  <si>
    <t>GER_CAIXA</t>
  </si>
  <si>
    <t>OPEN</t>
  </si>
  <si>
    <t>HIGH</t>
  </si>
  <si>
    <t>LOW</t>
  </si>
  <si>
    <t>CLOSE</t>
  </si>
  <si>
    <t>M9_M21</t>
  </si>
  <si>
    <t>2021-09-30</t>
  </si>
  <si>
    <t>2020-09-30</t>
  </si>
  <si>
    <t>ATIVO</t>
  </si>
  <si>
    <t>PASSIVO</t>
  </si>
  <si>
    <t>PL</t>
  </si>
  <si>
    <t>ROE</t>
  </si>
  <si>
    <t>MKT CAP</t>
  </si>
  <si>
    <t>ROIC</t>
  </si>
  <si>
    <t>P/LPA</t>
  </si>
  <si>
    <t>BP</t>
  </si>
  <si>
    <t>VOLUME FIN</t>
  </si>
  <si>
    <t>GUIDANCE:</t>
  </si>
  <si>
    <t>2012-03-31</t>
  </si>
  <si>
    <t>2012-06-30</t>
  </si>
  <si>
    <t>2012-09-30</t>
  </si>
  <si>
    <t>2012-12-31</t>
  </si>
  <si>
    <t>2013-03-31</t>
  </si>
  <si>
    <t>2013-06-30</t>
  </si>
  <si>
    <t>2013-09-30</t>
  </si>
  <si>
    <t>2013-12-31</t>
  </si>
  <si>
    <t>2014-03-31</t>
  </si>
  <si>
    <t>2014-06-30</t>
  </si>
  <si>
    <t>2014-09-30</t>
  </si>
  <si>
    <t>2014-12-31</t>
  </si>
  <si>
    <t>2015-03-31</t>
  </si>
  <si>
    <t>2015-06-30</t>
  </si>
  <si>
    <t>2015-09-30</t>
  </si>
  <si>
    <t>2015-12-31</t>
  </si>
  <si>
    <t>2016-03-31</t>
  </si>
  <si>
    <t>2016-06-30</t>
  </si>
  <si>
    <t>2016-09-30</t>
  </si>
  <si>
    <t>2016-12-31</t>
  </si>
  <si>
    <t>2017-03-31</t>
  </si>
  <si>
    <t>2017-06-30</t>
  </si>
  <si>
    <t>2017-09-30</t>
  </si>
  <si>
    <t>2017-12-31</t>
  </si>
  <si>
    <t>2018-03-31</t>
  </si>
  <si>
    <t>2018-06-30</t>
  </si>
  <si>
    <t>2018-09-30</t>
  </si>
  <si>
    <t>2018-12-31</t>
  </si>
  <si>
    <t>2019-03-31</t>
  </si>
  <si>
    <t>2019-06-30</t>
  </si>
  <si>
    <t>2019-09-30</t>
  </si>
  <si>
    <t>2019-12-31</t>
  </si>
  <si>
    <t>2020-03-31</t>
  </si>
  <si>
    <t>2020-06-30</t>
  </si>
  <si>
    <t>2020-12-31</t>
  </si>
  <si>
    <t>2021-03-31</t>
  </si>
  <si>
    <t>2021-06-30</t>
  </si>
  <si>
    <t>2021-12-31</t>
  </si>
  <si>
    <t>SCORE</t>
  </si>
  <si>
    <t>DATA</t>
  </si>
  <si>
    <t>Q1</t>
  </si>
  <si>
    <t>Q2</t>
  </si>
  <si>
    <t>Q3</t>
  </si>
  <si>
    <t>Q4</t>
  </si>
  <si>
    <t>ANÁLISE FUNDAMENTALISTA</t>
  </si>
  <si>
    <t>DADOS DE MERCADO</t>
  </si>
  <si>
    <t>MÚLTIPLOS</t>
  </si>
  <si>
    <t>INSIRA SEU TOKEN SEM "" ---&gt;</t>
  </si>
  <si>
    <t>ATIVO (INPUT)</t>
  </si>
  <si>
    <t>EV/EBIT</t>
  </si>
  <si>
    <t>2022-06-30</t>
  </si>
  <si>
    <t>GGBR4</t>
  </si>
  <si>
    <t>2022-03-31</t>
  </si>
  <si>
    <t>2022-09-30</t>
  </si>
  <si>
    <t>2022-12-31</t>
  </si>
  <si>
    <t>2023-03-31</t>
  </si>
  <si>
    <t>*POR TRIMESTRE</t>
  </si>
  <si>
    <t>*OPLAB_SCORE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</si>
</sst>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Ubuntu"/>
      <family val="2"/>
    </font>
    <font>
      <sz val="14"/>
      <color theme="1"/>
      <name val="Ubuntu"/>
      <family val="2"/>
    </font>
    <font>
      <sz val="11"/>
      <color theme="0"/>
      <name val="Ubuntu"/>
      <family val="2"/>
    </font>
    <font>
      <sz val="8"/>
      <color theme="2"/>
      <name val="Ubuntu"/>
      <family val="2"/>
    </font>
    <font>
      <sz val="8"/>
      <color theme="1"/>
      <name val="Ubuntu"/>
      <family val="2"/>
    </font>
    <font>
      <sz val="12"/>
      <color theme="1"/>
      <name val="Ubuntu"/>
      <family val="2"/>
    </font>
    <font>
      <sz val="24"/>
      <color theme="1"/>
      <name val="Ubuntu"/>
      <family val="2"/>
    </font>
    <font>
      <sz val="9"/>
      <color theme="1"/>
      <name val="Ubuntu"/>
      <family val="2"/>
    </font>
    <font>
      <sz val="11"/>
      <name val="Ubuntu"/>
      <family val="2"/>
    </font>
    <font>
      <sz val="8"/>
      <name val="Calibri"/>
      <family val="2"/>
      <scheme val="minor"/>
    </font>
    <font>
      <sz val="11"/>
      <color theme="1" tint="0.499984740745262"/>
      <name val="Ubuntu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1" xfId="0" applyFont="1" applyBorder="1" applyProtection="1">
      <protection locked="0"/>
    </xf>
    <xf numFmtId="49" fontId="7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0" fontId="2" fillId="0" borderId="0" xfId="0" applyFont="1" applyProtection="1"/>
    <xf numFmtId="0" fontId="6" fillId="0" borderId="0" xfId="0" applyFont="1" applyAlignment="1" applyProtection="1">
      <alignment horizontal="right" vertical="center"/>
    </xf>
    <xf numFmtId="0" fontId="10" fillId="0" borderId="0" xfId="0" applyFont="1" applyProtection="1"/>
    <xf numFmtId="0" fontId="2" fillId="2" borderId="0" xfId="0" applyFont="1" applyFill="1" applyProtection="1"/>
    <xf numFmtId="0" fontId="3" fillId="0" borderId="0" xfId="0" applyFont="1" applyProtection="1"/>
    <xf numFmtId="0" fontId="12" fillId="0" borderId="0" xfId="0" applyFont="1" applyProtection="1"/>
    <xf numFmtId="43" fontId="2" fillId="2" borderId="0" xfId="1" applyFont="1" applyFill="1" applyBorder="1" applyProtection="1"/>
    <xf numFmtId="49" fontId="12" fillId="0" borderId="0" xfId="0" applyNumberFormat="1" applyFont="1" applyAlignment="1" applyProtection="1">
      <alignment horizontal="center" vertical="center"/>
    </xf>
    <xf numFmtId="164" fontId="12" fillId="0" borderId="0" xfId="1" applyNumberFormat="1" applyFont="1" applyProtection="1"/>
    <xf numFmtId="44" fontId="2" fillId="2" borderId="0" xfId="2" applyFont="1" applyFill="1" applyBorder="1" applyProtection="1"/>
    <xf numFmtId="44" fontId="4" fillId="0" borderId="0" xfId="0" applyNumberFormat="1" applyFont="1" applyAlignment="1" applyProtection="1">
      <alignment horizontal="center" vertical="center"/>
    </xf>
    <xf numFmtId="164" fontId="9" fillId="0" borderId="0" xfId="1" applyNumberFormat="1" applyFont="1" applyAlignment="1" applyProtection="1">
      <alignment vertical="center"/>
    </xf>
    <xf numFmtId="10" fontId="2" fillId="2" borderId="0" xfId="3" applyNumberFormat="1" applyFont="1" applyFill="1" applyBorder="1" applyProtection="1"/>
    <xf numFmtId="165" fontId="2" fillId="2" borderId="0" xfId="3" applyNumberFormat="1" applyFont="1" applyFill="1" applyBorder="1" applyProtection="1"/>
    <xf numFmtId="2" fontId="2" fillId="2" borderId="0" xfId="0" applyNumberFormat="1" applyFont="1" applyFill="1" applyProtection="1"/>
    <xf numFmtId="0" fontId="8" fillId="0" borderId="0" xfId="0" applyFont="1" applyProtection="1"/>
    <xf numFmtId="49" fontId="10" fillId="0" borderId="0" xfId="0" applyNumberFormat="1" applyFont="1" applyAlignment="1" applyProtection="1">
      <alignment horizontal="center" vertical="center"/>
    </xf>
    <xf numFmtId="0" fontId="4" fillId="0" borderId="0" xfId="0" applyFont="1" applyProtection="1"/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4">
    <dxf>
      <font>
        <color theme="2" tint="-0.24994659260841701"/>
      </font>
    </dxf>
    <dxf>
      <font>
        <color rgb="FF00B050"/>
      </font>
    </dxf>
    <dxf>
      <font>
        <color rgb="FFFF0000"/>
      </font>
    </dxf>
    <dxf>
      <font>
        <color theme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803149606299212E-2"/>
          <c:y val="0.1300462962962963"/>
          <c:w val="0.84562007874015743"/>
          <c:h val="0.60605310433602377"/>
        </c:manualLayout>
      </c:layout>
      <c:lineChart>
        <c:grouping val="standard"/>
        <c:varyColors val="0"/>
        <c:ser>
          <c:idx val="0"/>
          <c:order val="0"/>
          <c:tx>
            <c:strRef>
              <c:f>DASHBOARD!$S$4</c:f>
              <c:strCache>
                <c:ptCount val="1"/>
                <c:pt idx="0">
                  <c:v>SCORE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DASHBOARD!$O$9:$O$48</c:f>
              <c:strCache>
                <c:ptCount val="40"/>
                <c:pt idx="0">
                  <c:v>2013-03-31</c:v>
                </c:pt>
                <c:pt idx="1">
                  <c:v>2013-06-30</c:v>
                </c:pt>
                <c:pt idx="2">
                  <c:v>2013-09-30</c:v>
                </c:pt>
                <c:pt idx="3">
                  <c:v>2013-12-31</c:v>
                </c:pt>
                <c:pt idx="4">
                  <c:v>2014-03-31</c:v>
                </c:pt>
                <c:pt idx="5">
                  <c:v>2014-06-30</c:v>
                </c:pt>
                <c:pt idx="6">
                  <c:v>2014-09-30</c:v>
                </c:pt>
                <c:pt idx="7">
                  <c:v>2014-12-31</c:v>
                </c:pt>
                <c:pt idx="8">
                  <c:v>2015-03-31</c:v>
                </c:pt>
                <c:pt idx="9">
                  <c:v>2015-06-30</c:v>
                </c:pt>
                <c:pt idx="10">
                  <c:v>2015-09-30</c:v>
                </c:pt>
                <c:pt idx="11">
                  <c:v>2015-12-31</c:v>
                </c:pt>
                <c:pt idx="12">
                  <c:v>2016-03-31</c:v>
                </c:pt>
                <c:pt idx="13">
                  <c:v>2016-06-30</c:v>
                </c:pt>
                <c:pt idx="14">
                  <c:v>2016-09-30</c:v>
                </c:pt>
                <c:pt idx="15">
                  <c:v>2016-12-31</c:v>
                </c:pt>
                <c:pt idx="16">
                  <c:v>2017-03-31</c:v>
                </c:pt>
                <c:pt idx="17">
                  <c:v>2017-06-30</c:v>
                </c:pt>
                <c:pt idx="18">
                  <c:v>2017-09-30</c:v>
                </c:pt>
                <c:pt idx="19">
                  <c:v>2017-12-31</c:v>
                </c:pt>
                <c:pt idx="20">
                  <c:v>2018-03-31</c:v>
                </c:pt>
                <c:pt idx="21">
                  <c:v>2018-06-30</c:v>
                </c:pt>
                <c:pt idx="22">
                  <c:v>2018-09-30</c:v>
                </c:pt>
                <c:pt idx="23">
                  <c:v>2018-12-31</c:v>
                </c:pt>
                <c:pt idx="24">
                  <c:v>2019-03-31</c:v>
                </c:pt>
                <c:pt idx="25">
                  <c:v>2019-06-30</c:v>
                </c:pt>
                <c:pt idx="26">
                  <c:v>2019-09-30</c:v>
                </c:pt>
                <c:pt idx="27">
                  <c:v>2019-12-31</c:v>
                </c:pt>
                <c:pt idx="28">
                  <c:v>2020-03-31</c:v>
                </c:pt>
                <c:pt idx="29">
                  <c:v>2020-06-30</c:v>
                </c:pt>
                <c:pt idx="30">
                  <c:v>2020-09-30</c:v>
                </c:pt>
                <c:pt idx="31">
                  <c:v>2020-12-31</c:v>
                </c:pt>
                <c:pt idx="32">
                  <c:v>2021-03-31</c:v>
                </c:pt>
                <c:pt idx="33">
                  <c:v>2021-06-30</c:v>
                </c:pt>
                <c:pt idx="34">
                  <c:v>2021-09-30</c:v>
                </c:pt>
                <c:pt idx="35">
                  <c:v>2021-12-31</c:v>
                </c:pt>
                <c:pt idx="36">
                  <c:v>2022-03-31</c:v>
                </c:pt>
                <c:pt idx="37">
                  <c:v>2022-06-30</c:v>
                </c:pt>
                <c:pt idx="38">
                  <c:v>2022-09-30</c:v>
                </c:pt>
                <c:pt idx="39">
                  <c:v>2022-12-31</c:v>
                </c:pt>
              </c:strCache>
            </c:strRef>
          </c:cat>
          <c:val>
            <c:numRef>
              <c:f>DASHBOARD!$S$9:$S$48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2-4A0C-AD13-83852F4E2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19050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99081008"/>
        <c:axId val="1399083504"/>
      </c:lineChart>
      <c:catAx>
        <c:axId val="13990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3504"/>
        <c:crosses val="autoZero"/>
        <c:auto val="1"/>
        <c:lblAlgn val="ctr"/>
        <c:lblOffset val="100"/>
        <c:noMultiLvlLbl val="0"/>
      </c:catAx>
      <c:valAx>
        <c:axId val="1399083504"/>
        <c:scaling>
          <c:orientation val="minMax"/>
          <c:max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1008"/>
        <c:crosses val="autoZero"/>
        <c:crossBetween val="between"/>
        <c:majorUnit val="1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803149606299212E-2"/>
          <c:y val="0.1300462962962963"/>
          <c:w val="0.84562007874015743"/>
          <c:h val="0.60605310433602377"/>
        </c:manualLayout>
      </c:layout>
      <c:lineChart>
        <c:grouping val="standard"/>
        <c:varyColors val="0"/>
        <c:ser>
          <c:idx val="0"/>
          <c:order val="0"/>
          <c:tx>
            <c:strRef>
              <c:f>DASHBOARD!$U$4</c:f>
              <c:strCache>
                <c:ptCount val="1"/>
                <c:pt idx="0">
                  <c:v>Q1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DASHBOARD!$U$5:$U$15</c:f>
              <c:numCache>
                <c:formatCode>_-* #,##0_-;\-* #,##0_-;_-* "-"??_-;_-@_-</c:formatCode>
                <c:ptCount val="11"/>
                <c:pt idx="0">
                  <c:v>9199442</c:v>
                </c:pt>
                <c:pt idx="1">
                  <c:v>9165558</c:v>
                </c:pt>
                <c:pt idx="2">
                  <c:v>10553776</c:v>
                </c:pt>
                <c:pt idx="3">
                  <c:v>10447376</c:v>
                </c:pt>
                <c:pt idx="4">
                  <c:v>10084511</c:v>
                </c:pt>
                <c:pt idx="5">
                  <c:v>8458664</c:v>
                </c:pt>
                <c:pt idx="6">
                  <c:v>10388800</c:v>
                </c:pt>
                <c:pt idx="7">
                  <c:v>10025661</c:v>
                </c:pt>
                <c:pt idx="8">
                  <c:v>9227541</c:v>
                </c:pt>
                <c:pt idx="9">
                  <c:v>16342984</c:v>
                </c:pt>
                <c:pt idx="10">
                  <c:v>20330491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57-4863-AAE6-C4755DFD5E64}"/>
            </c:ext>
          </c:extLst>
        </c:ser>
        <c:ser>
          <c:idx val="1"/>
          <c:order val="1"/>
          <c:tx>
            <c:strRef>
              <c:f>DASHBOARD!$X$4</c:f>
              <c:strCache>
                <c:ptCount val="1"/>
                <c:pt idx="0">
                  <c:v>Q2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DASHBOARD!$X$5:$X$15</c:f>
              <c:numCache>
                <c:formatCode>_-* #,##0_-;\-* #,##0_-;_-* "-"??_-;_-@_-</c:formatCode>
                <c:ptCount val="11"/>
                <c:pt idx="0">
                  <c:v>19174872</c:v>
                </c:pt>
                <c:pt idx="1">
                  <c:v>19048015</c:v>
                </c:pt>
                <c:pt idx="2">
                  <c:v>20996598</c:v>
                </c:pt>
                <c:pt idx="3">
                  <c:v>21206767</c:v>
                </c:pt>
                <c:pt idx="4">
                  <c:v>20333289</c:v>
                </c:pt>
                <c:pt idx="5">
                  <c:v>17624517</c:v>
                </c:pt>
                <c:pt idx="6">
                  <c:v>22424155</c:v>
                </c:pt>
                <c:pt idx="7">
                  <c:v>20179714</c:v>
                </c:pt>
                <c:pt idx="8">
                  <c:v>17972374</c:v>
                </c:pt>
                <c:pt idx="9">
                  <c:v>35473100</c:v>
                </c:pt>
                <c:pt idx="10">
                  <c:v>43298933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B-4358-8951-E664B8722E24}"/>
            </c:ext>
          </c:extLst>
        </c:ser>
        <c:ser>
          <c:idx val="2"/>
          <c:order val="2"/>
          <c:tx>
            <c:strRef>
              <c:f>DASHBOARD!$AA$4</c:f>
              <c:strCache>
                <c:ptCount val="1"/>
                <c:pt idx="0">
                  <c:v>Q3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DASHBOARD!$AA$5:$AA$15</c:f>
              <c:numCache>
                <c:formatCode>_-* #,##0_-;\-* #,##0_-;_-* "-"??_-;_-@_-</c:formatCode>
                <c:ptCount val="11"/>
                <c:pt idx="0">
                  <c:v>28993964</c:v>
                </c:pt>
                <c:pt idx="1">
                  <c:v>29542040</c:v>
                </c:pt>
                <c:pt idx="2">
                  <c:v>31702543</c:v>
                </c:pt>
                <c:pt idx="3">
                  <c:v>33132112</c:v>
                </c:pt>
                <c:pt idx="4">
                  <c:v>29032038</c:v>
                </c:pt>
                <c:pt idx="5">
                  <c:v>27100721</c:v>
                </c:pt>
                <c:pt idx="6">
                  <c:v>35259776</c:v>
                </c:pt>
                <c:pt idx="7">
                  <c:v>30110543</c:v>
                </c:pt>
                <c:pt idx="8">
                  <c:v>30194482</c:v>
                </c:pt>
                <c:pt idx="9">
                  <c:v>56790157</c:v>
                </c:pt>
                <c:pt idx="10">
                  <c:v>64448165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B-4358-8951-E664B8722E24}"/>
            </c:ext>
          </c:extLst>
        </c:ser>
        <c:ser>
          <c:idx val="3"/>
          <c:order val="3"/>
          <c:tx>
            <c:strRef>
              <c:f>DASHBOARD!$AD$4</c:f>
              <c:strCache>
                <c:ptCount val="1"/>
                <c:pt idx="0">
                  <c:v>Q4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DASHBOARD!$AD$5:$AD$15</c:f>
              <c:numCache>
                <c:formatCode>_-* #.##0_-;\-* #.##0_-;_-* "-"??_-;_-@_-</c:formatCode>
                <c:ptCount val="11"/>
                <c:pt idx="0">
                  <c:v>37981668</c:v>
                </c:pt>
                <c:pt idx="1">
                  <c:v>39863037</c:v>
                </c:pt>
                <c:pt idx="2">
                  <c:v>42546339</c:v>
                </c:pt>
                <c:pt idx="3">
                  <c:v>43581241</c:v>
                </c:pt>
                <c:pt idx="4">
                  <c:v>37651667</c:v>
                </c:pt>
                <c:pt idx="5">
                  <c:v>36917619</c:v>
                </c:pt>
                <c:pt idx="6">
                  <c:v>46159478</c:v>
                </c:pt>
                <c:pt idx="7">
                  <c:v>39644010</c:v>
                </c:pt>
                <c:pt idx="8">
                  <c:v>43814661</c:v>
                </c:pt>
                <c:pt idx="9">
                  <c:v>78345081</c:v>
                </c:pt>
                <c:pt idx="10">
                  <c:v>82412210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B-4358-8951-E664B872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99081008"/>
        <c:axId val="1399083504"/>
      </c:lineChart>
      <c:catAx>
        <c:axId val="13990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3504"/>
        <c:crosses val="autoZero"/>
        <c:auto val="1"/>
        <c:lblAlgn val="ctr"/>
        <c:lblOffset val="100"/>
        <c:noMultiLvlLbl val="0"/>
      </c:catAx>
      <c:valAx>
        <c:axId val="1399083504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1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EBIT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803149606299212E-2"/>
          <c:y val="0.1300462962962963"/>
          <c:w val="0.84562007874015743"/>
          <c:h val="0.60605310433602377"/>
        </c:manualLayout>
      </c:layout>
      <c:lineChart>
        <c:grouping val="standard"/>
        <c:varyColors val="0"/>
        <c:ser>
          <c:idx val="0"/>
          <c:order val="0"/>
          <c:tx>
            <c:strRef>
              <c:f>DASHBOARD!$U$4</c:f>
              <c:strCache>
                <c:ptCount val="1"/>
                <c:pt idx="0">
                  <c:v>Q1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DASHBOARD!$V$5:$V$15</c:f>
              <c:numCache>
                <c:formatCode>_-* #,##0_-;\-* #,##0_-;_-* "-"??_-;_-@_-</c:formatCode>
                <c:ptCount val="11"/>
                <c:pt idx="0">
                  <c:v>570249</c:v>
                </c:pt>
                <c:pt idx="1">
                  <c:v>341037</c:v>
                </c:pt>
                <c:pt idx="2">
                  <c:v>654182</c:v>
                </c:pt>
                <c:pt idx="3">
                  <c:v>485240</c:v>
                </c:pt>
                <c:pt idx="4">
                  <c:v>201026</c:v>
                </c:pt>
                <c:pt idx="5">
                  <c:v>1206805</c:v>
                </c:pt>
                <c:pt idx="6">
                  <c:v>963521</c:v>
                </c:pt>
                <c:pt idx="7">
                  <c:v>990003</c:v>
                </c:pt>
                <c:pt idx="8">
                  <c:v>473409</c:v>
                </c:pt>
                <c:pt idx="9">
                  <c:v>3557887</c:v>
                </c:pt>
                <c:pt idx="10">
                  <c:v>5013527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F-46D5-B6E4-F9CFC49C53E7}"/>
            </c:ext>
          </c:extLst>
        </c:ser>
        <c:ser>
          <c:idx val="1"/>
          <c:order val="1"/>
          <c:tx>
            <c:strRef>
              <c:f>DASHBOARD!$X$4</c:f>
              <c:strCache>
                <c:ptCount val="1"/>
                <c:pt idx="0">
                  <c:v>Q2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DASHBOARD!$Y$5:$Y$15</c:f>
              <c:numCache>
                <c:formatCode>_-* #,##0_-;\-* #,##0_-;_-* "-"??_-;_-@_-</c:formatCode>
                <c:ptCount val="11"/>
                <c:pt idx="0">
                  <c:v>1355000</c:v>
                </c:pt>
                <c:pt idx="1">
                  <c:v>1060506</c:v>
                </c:pt>
                <c:pt idx="2">
                  <c:v>1283747</c:v>
                </c:pt>
                <c:pt idx="3">
                  <c:v>1043191</c:v>
                </c:pt>
                <c:pt idx="4">
                  <c:v>629913</c:v>
                </c:pt>
                <c:pt idx="5">
                  <c:v>1686895</c:v>
                </c:pt>
                <c:pt idx="6">
                  <c:v>2143693</c:v>
                </c:pt>
                <c:pt idx="7">
                  <c:v>1915140</c:v>
                </c:pt>
                <c:pt idx="8">
                  <c:v>1249195</c:v>
                </c:pt>
                <c:pt idx="9">
                  <c:v>9120581</c:v>
                </c:pt>
                <c:pt idx="10">
                  <c:v>10804163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9F-46D5-B6E4-F9CFC49C53E7}"/>
            </c:ext>
          </c:extLst>
        </c:ser>
        <c:ser>
          <c:idx val="2"/>
          <c:order val="2"/>
          <c:tx>
            <c:strRef>
              <c:f>DASHBOARD!$AA$4</c:f>
              <c:strCache>
                <c:ptCount val="1"/>
                <c:pt idx="0">
                  <c:v>Q3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DASHBOARD!$AB$5:$AB$15</c:f>
              <c:numCache>
                <c:formatCode>_-* #,##0_-;\-* #,##0_-;_-* "-"??_-;_-@_-</c:formatCode>
                <c:ptCount val="11"/>
                <c:pt idx="0">
                  <c:v>1922754</c:v>
                </c:pt>
                <c:pt idx="1">
                  <c:v>1946150</c:v>
                </c:pt>
                <c:pt idx="2">
                  <c:v>1952555</c:v>
                </c:pt>
                <c:pt idx="3">
                  <c:v>-230586</c:v>
                </c:pt>
                <c:pt idx="4">
                  <c:v>1223280</c:v>
                </c:pt>
                <c:pt idx="5">
                  <c:v>2267295</c:v>
                </c:pt>
                <c:pt idx="6">
                  <c:v>3415147</c:v>
                </c:pt>
                <c:pt idx="7">
                  <c:v>2616604</c:v>
                </c:pt>
                <c:pt idx="8">
                  <c:v>2628937</c:v>
                </c:pt>
                <c:pt idx="9">
                  <c:v>16509346</c:v>
                </c:pt>
                <c:pt idx="10">
                  <c:v>15266679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9F-46D5-B6E4-F9CFC49C53E7}"/>
            </c:ext>
          </c:extLst>
        </c:ser>
        <c:ser>
          <c:idx val="3"/>
          <c:order val="3"/>
          <c:tx>
            <c:strRef>
              <c:f>DASHBOARD!$AD$4</c:f>
              <c:strCache>
                <c:ptCount val="1"/>
                <c:pt idx="0">
                  <c:v>Q4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DASHBOARD!$AE$5:$AE$15</c:f>
              <c:numCache>
                <c:formatCode>_-* #.##0_-;\-* #.##0_-;_-* "-"??_-;_-@_-</c:formatCode>
                <c:ptCount val="11"/>
                <c:pt idx="0">
                  <c:v>2348205</c:v>
                </c:pt>
                <c:pt idx="1">
                  <c:v>2754423</c:v>
                </c:pt>
                <c:pt idx="2">
                  <c:v>2898986</c:v>
                </c:pt>
                <c:pt idx="3">
                  <c:v>-3215512</c:v>
                </c:pt>
                <c:pt idx="4">
                  <c:v>-1636360</c:v>
                </c:pt>
                <c:pt idx="5">
                  <c:v>1100072</c:v>
                </c:pt>
                <c:pt idx="6">
                  <c:v>4047226</c:v>
                </c:pt>
                <c:pt idx="7">
                  <c:v>3183934</c:v>
                </c:pt>
                <c:pt idx="8">
                  <c:v>5194385</c:v>
                </c:pt>
                <c:pt idx="9">
                  <c:v>21023022</c:v>
                </c:pt>
                <c:pt idx="10">
                  <c:v>17751453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9F-46D5-B6E4-F9CFC49C5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99081008"/>
        <c:axId val="1399083504"/>
      </c:lineChart>
      <c:catAx>
        <c:axId val="13990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3504"/>
        <c:crosses val="autoZero"/>
        <c:auto val="1"/>
        <c:lblAlgn val="ctr"/>
        <c:lblOffset val="100"/>
        <c:noMultiLvlLbl val="0"/>
      </c:catAx>
      <c:valAx>
        <c:axId val="1399083504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1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GER_CAIXA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803149606299212E-2"/>
          <c:y val="0.1300462962962963"/>
          <c:w val="0.84562007874015743"/>
          <c:h val="0.60605310433602377"/>
        </c:manualLayout>
      </c:layout>
      <c:lineChart>
        <c:grouping val="standard"/>
        <c:varyColors val="0"/>
        <c:ser>
          <c:idx val="0"/>
          <c:order val="0"/>
          <c:tx>
            <c:strRef>
              <c:f>DASHBOARD!$U$4</c:f>
              <c:strCache>
                <c:ptCount val="1"/>
                <c:pt idx="0">
                  <c:v>Q1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DASHBOARD!$W$5:$W$15</c:f>
              <c:numCache>
                <c:formatCode>_-* #,##0_-;\-* #,##0_-;_-* "-"??_-;_-@_-</c:formatCode>
                <c:ptCount val="11"/>
                <c:pt idx="0">
                  <c:v>-117852</c:v>
                </c:pt>
                <c:pt idx="1">
                  <c:v>-377819</c:v>
                </c:pt>
                <c:pt idx="2">
                  <c:v>-228325</c:v>
                </c:pt>
                <c:pt idx="3">
                  <c:v>546193</c:v>
                </c:pt>
                <c:pt idx="4">
                  <c:v>-918055</c:v>
                </c:pt>
                <c:pt idx="5">
                  <c:v>-587260</c:v>
                </c:pt>
                <c:pt idx="6">
                  <c:v>-179891</c:v>
                </c:pt>
                <c:pt idx="7">
                  <c:v>-948380</c:v>
                </c:pt>
                <c:pt idx="8">
                  <c:v>1174202</c:v>
                </c:pt>
                <c:pt idx="9">
                  <c:v>-375332</c:v>
                </c:pt>
                <c:pt idx="10">
                  <c:v>734507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E5-453B-A270-BD59C01CDD15}"/>
            </c:ext>
          </c:extLst>
        </c:ser>
        <c:ser>
          <c:idx val="1"/>
          <c:order val="1"/>
          <c:tx>
            <c:strRef>
              <c:f>DASHBOARD!$X$4</c:f>
              <c:strCache>
                <c:ptCount val="1"/>
                <c:pt idx="0">
                  <c:v>Q2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DASHBOARD!$Z$5:$Z$15</c:f>
              <c:numCache>
                <c:formatCode>_-* #,##0_-;\-* #,##0_-;_-* "-"??_-;_-@_-</c:formatCode>
                <c:ptCount val="11"/>
                <c:pt idx="0">
                  <c:v>187472</c:v>
                </c:pt>
                <c:pt idx="1">
                  <c:v>-198042</c:v>
                </c:pt>
                <c:pt idx="2">
                  <c:v>528837</c:v>
                </c:pt>
                <c:pt idx="3">
                  <c:v>740549</c:v>
                </c:pt>
                <c:pt idx="4">
                  <c:v>-1838656</c:v>
                </c:pt>
                <c:pt idx="5">
                  <c:v>-757949</c:v>
                </c:pt>
                <c:pt idx="6">
                  <c:v>82353</c:v>
                </c:pt>
                <c:pt idx="7">
                  <c:v>-1139287</c:v>
                </c:pt>
                <c:pt idx="8">
                  <c:v>1422009</c:v>
                </c:pt>
                <c:pt idx="9">
                  <c:v>-1590976</c:v>
                </c:pt>
                <c:pt idx="10">
                  <c:v>1616099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E5-453B-A270-BD59C01CDD15}"/>
            </c:ext>
          </c:extLst>
        </c:ser>
        <c:ser>
          <c:idx val="2"/>
          <c:order val="2"/>
          <c:tx>
            <c:strRef>
              <c:f>DASHBOARD!$AA$4</c:f>
              <c:strCache>
                <c:ptCount val="1"/>
                <c:pt idx="0">
                  <c:v>Q3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DASHBOARD!$AC$5:$AC$15</c:f>
              <c:numCache>
                <c:formatCode>_-* #,##0_-;\-* #,##0_-;_-* "-"??_-;_-@_-</c:formatCode>
                <c:ptCount val="11"/>
                <c:pt idx="0">
                  <c:v>188962</c:v>
                </c:pt>
                <c:pt idx="1">
                  <c:v>528216</c:v>
                </c:pt>
                <c:pt idx="2">
                  <c:v>772871</c:v>
                </c:pt>
                <c:pt idx="3">
                  <c:v>2140557</c:v>
                </c:pt>
                <c:pt idx="4">
                  <c:v>-1699455</c:v>
                </c:pt>
                <c:pt idx="5">
                  <c:v>-1800389</c:v>
                </c:pt>
                <c:pt idx="6">
                  <c:v>239858</c:v>
                </c:pt>
                <c:pt idx="7">
                  <c:v>-598728</c:v>
                </c:pt>
                <c:pt idx="8">
                  <c:v>1529476</c:v>
                </c:pt>
                <c:pt idx="9">
                  <c:v>-641127</c:v>
                </c:pt>
                <c:pt idx="10">
                  <c:v>2024997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5-453B-A270-BD59C01CDD15}"/>
            </c:ext>
          </c:extLst>
        </c:ser>
        <c:ser>
          <c:idx val="3"/>
          <c:order val="3"/>
          <c:tx>
            <c:strRef>
              <c:f>DASHBOARD!$AD$4</c:f>
              <c:strCache>
                <c:ptCount val="1"/>
                <c:pt idx="0">
                  <c:v>Q4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DASHBOARD!$AF$5:$AF$15</c:f>
              <c:numCache>
                <c:formatCode>_-* #.##0_-;\-* #.##0_-;_-* "-"??_-;_-@_-</c:formatCode>
                <c:ptCount val="11"/>
                <c:pt idx="0">
                  <c:v>-39364</c:v>
                </c:pt>
                <c:pt idx="1">
                  <c:v>661989</c:v>
                </c:pt>
                <c:pt idx="2">
                  <c:v>950747</c:v>
                </c:pt>
                <c:pt idx="3">
                  <c:v>2598109</c:v>
                </c:pt>
                <c:pt idx="4">
                  <c:v>-584697</c:v>
                </c:pt>
                <c:pt idx="5">
                  <c:v>-2508045</c:v>
                </c:pt>
                <c:pt idx="6">
                  <c:v>334806</c:v>
                </c:pt>
                <c:pt idx="7">
                  <c:v>-248492</c:v>
                </c:pt>
                <c:pt idx="8">
                  <c:v>1975552</c:v>
                </c:pt>
                <c:pt idx="9">
                  <c:v>-456550</c:v>
                </c:pt>
                <c:pt idx="10">
                  <c:v>-1684791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E5-453B-A270-BD59C01C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99081008"/>
        <c:axId val="1399083504"/>
      </c:lineChart>
      <c:catAx>
        <c:axId val="13990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3504"/>
        <c:crosses val="autoZero"/>
        <c:auto val="1"/>
        <c:lblAlgn val="ctr"/>
        <c:lblOffset val="100"/>
        <c:noMultiLvlLbl val="0"/>
      </c:catAx>
      <c:valAx>
        <c:axId val="1399083504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81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BALANÇO PATRIMONIAL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000" b="1">
              <a:latin typeface="Ubuntu" panose="020B0504030602030204" pitchFamily="34" charset="0"/>
              <a:ea typeface="Ubuntu" panose="020B0504030602030204" pitchFamily="34" charset="0"/>
              <a:cs typeface="Ubuntu" panose="020B0504030602030204" pitchFamily="34" charset="0"/>
            </a:defRPr>
          </a:pPr>
          <a:r>
            <a:rPr lang="pt-B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Ubuntu" panose="020B0504030602030204" pitchFamily="34" charset="0"/>
            </a:rPr>
            <a:t>BALANÇO PATRIMONIAL</a:t>
          </a:r>
        </a:p>
      </cx:txPr>
    </cx:title>
    <cx:plotArea>
      <cx:plotAreaRegion>
        <cx:series layoutId="treemap" uniqueId="{9594CDA5-910A-486A-84AE-3189F96A059C}"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>
                    <a:latin typeface="Ubuntu" panose="020B0504030602030204" pitchFamily="34" charset="0"/>
                    <a:ea typeface="Ubuntu" panose="020B0504030602030204" pitchFamily="34" charset="0"/>
                    <a:cs typeface="Ubuntu" panose="020B0504030602030204" pitchFamily="34" charset="0"/>
                  </a:defRPr>
                </a:pPr>
                <a:endParaRPr lang="pt-BR" sz="1800" b="0" i="0" u="none" strike="noStrike" baseline="0">
                  <a:solidFill>
                    <a:sysClr val="window" lastClr="FFFFFF"/>
                  </a:solidFill>
                  <a:latin typeface="Ubuntu" panose="020B0504030602030204" pitchFamily="34" charset="0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277092</xdr:rowOff>
    </xdr:from>
    <xdr:to>
      <xdr:col>3</xdr:col>
      <xdr:colOff>1428750</xdr:colOff>
      <xdr:row>2</xdr:row>
      <xdr:rowOff>34637</xdr:rowOff>
    </xdr:to>
    <xdr:sp macro="[0]!Get_Sto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12762D5-6309-4DF1-AF52-EE255892032E}"/>
            </a:ext>
          </a:extLst>
        </xdr:cNvPr>
        <xdr:cNvSpPr/>
      </xdr:nvSpPr>
      <xdr:spPr>
        <a:xfrm>
          <a:off x="3518189" y="277092"/>
          <a:ext cx="1400175" cy="259772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BUSCAR</a:t>
          </a:r>
        </a:p>
      </xdr:txBody>
    </xdr:sp>
    <xdr:clientData/>
  </xdr:twoCellAnchor>
  <xdr:twoCellAnchor>
    <xdr:from>
      <xdr:col>0</xdr:col>
      <xdr:colOff>545523</xdr:colOff>
      <xdr:row>14</xdr:row>
      <xdr:rowOff>109679</xdr:rowOff>
    </xdr:from>
    <xdr:to>
      <xdr:col>4</xdr:col>
      <xdr:colOff>38966</xdr:colOff>
      <xdr:row>34</xdr:row>
      <xdr:rowOff>95249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E26F4F13-A100-48FD-99B3-97BB052775E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5523" y="3081479"/>
              <a:ext cx="4446443" cy="41956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5</xdr:col>
      <xdr:colOff>175779</xdr:colOff>
      <xdr:row>20</xdr:row>
      <xdr:rowOff>164524</xdr:rowOff>
    </xdr:from>
    <xdr:to>
      <xdr:col>8</xdr:col>
      <xdr:colOff>355023</xdr:colOff>
      <xdr:row>34</xdr:row>
      <xdr:rowOff>181840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DDCCC1-3BB7-4D23-9A6E-5A80DD316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604929</xdr:colOff>
      <xdr:row>2</xdr:row>
      <xdr:rowOff>173054</xdr:rowOff>
    </xdr:from>
    <xdr:to>
      <xdr:col>12</xdr:col>
      <xdr:colOff>470089</xdr:colOff>
      <xdr:row>17</xdr:row>
      <xdr:rowOff>4900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62F79E6-359C-4EFB-961B-35837D9BD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595440</xdr:colOff>
      <xdr:row>13</xdr:row>
      <xdr:rowOff>164138</xdr:rowOff>
    </xdr:from>
    <xdr:to>
      <xdr:col>12</xdr:col>
      <xdr:colOff>457353</xdr:colOff>
      <xdr:row>27</xdr:row>
      <xdr:rowOff>93781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EBF9BBD-D663-4578-AADD-3D268626E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516554</xdr:colOff>
      <xdr:row>24</xdr:row>
      <xdr:rowOff>85256</xdr:rowOff>
    </xdr:from>
    <xdr:to>
      <xdr:col>12</xdr:col>
      <xdr:colOff>381014</xdr:colOff>
      <xdr:row>39</xdr:row>
      <xdr:rowOff>44822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CCB5CF4A-F61B-4DE0-877F-7AF5EF5ED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1203614</xdr:colOff>
      <xdr:row>0</xdr:row>
      <xdr:rowOff>99498</xdr:rowOff>
    </xdr:from>
    <xdr:to>
      <xdr:col>7</xdr:col>
      <xdr:colOff>1498024</xdr:colOff>
      <xdr:row>2</xdr:row>
      <xdr:rowOff>105642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21CC850F-2F2B-4007-B148-1DC1E96E3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5705" y="99498"/>
          <a:ext cx="1601933" cy="508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C334C-C4ED-475E-828A-1F29F41E7AE2}">
  <sheetPr codeName="Planilha2"/>
  <dimension ref="B1:AG52"/>
  <sheetViews>
    <sheetView showGridLines="0" tabSelected="1" zoomScaleNormal="100" workbookViewId="0">
      <selection activeCell="C1" sqref="C1"/>
    </sheetView>
  </sheetViews>
  <sheetFormatPr defaultRowHeight="15.75" x14ac:dyDescent="0.25"/>
  <cols>
    <col min="1" max="1" width="9.140625" style="4"/>
    <col min="2" max="2" width="21.42578125" style="4" customWidth="1"/>
    <col min="3" max="4" width="21.85546875" style="4" bestFit="1" customWidth="1"/>
    <col min="5" max="5" width="8.28515625" style="4" customWidth="1"/>
    <col min="6" max="6" width="7.42578125" style="4" customWidth="1"/>
    <col min="7" max="7" width="19.5703125" style="4" bestFit="1" customWidth="1"/>
    <col min="8" max="8" width="33.42578125" style="4" customWidth="1"/>
    <col min="9" max="13" width="16.42578125" style="4" customWidth="1"/>
    <col min="14" max="14" width="42.28515625" style="4" customWidth="1"/>
    <col min="15" max="15" width="11.85546875" style="21" bestFit="1" customWidth="1"/>
    <col min="16" max="17" width="11.5703125" style="21" bestFit="1" customWidth="1"/>
    <col min="18" max="18" width="11.28515625" style="21" bestFit="1" customWidth="1"/>
    <col min="19" max="19" width="9.5703125" style="21" bestFit="1" customWidth="1"/>
    <col min="20" max="20" width="9.140625" style="21"/>
    <col min="21" max="21" width="16.42578125" style="21" bestFit="1" customWidth="1"/>
    <col min="22" max="22" width="16" style="21" customWidth="1"/>
    <col min="23" max="23" width="15.140625" style="21" bestFit="1" customWidth="1"/>
    <col min="24" max="24" width="16.42578125" style="21" bestFit="1" customWidth="1"/>
    <col min="25" max="25" width="16" style="21" customWidth="1"/>
    <col min="26" max="26" width="15.140625" style="21" bestFit="1" customWidth="1"/>
    <col min="27" max="27" width="17.7109375" style="21" bestFit="1" customWidth="1"/>
    <col min="28" max="28" width="17.28515625" style="21" customWidth="1"/>
    <col min="29" max="29" width="15.140625" style="21" bestFit="1" customWidth="1"/>
    <col min="30" max="30" width="17.7109375" style="21" bestFit="1" customWidth="1"/>
    <col min="31" max="31" width="16.28515625" style="21" bestFit="1" customWidth="1"/>
    <col min="32" max="32" width="15.140625" style="21" bestFit="1" customWidth="1"/>
    <col min="33" max="16384" width="9.140625" style="4"/>
  </cols>
  <sheetData>
    <row r="1" spans="2:33" ht="24" customHeight="1" x14ac:dyDescent="0.25">
      <c r="B1" s="5" t="s">
        <v>67</v>
      </c>
      <c r="C1" s="3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2:33" x14ac:dyDescent="0.25">
      <c r="B2" s="7" t="s">
        <v>68</v>
      </c>
      <c r="C2" s="1" t="s">
        <v>71</v>
      </c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2:33" x14ac:dyDescent="0.25">
      <c r="O3" s="6" t="s">
        <v>77</v>
      </c>
      <c r="P3" s="6"/>
      <c r="Q3" s="6"/>
      <c r="R3" s="6"/>
      <c r="S3" s="6"/>
      <c r="T3" s="6"/>
      <c r="U3" s="6" t="s">
        <v>76</v>
      </c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2:33" ht="19.5" x14ac:dyDescent="0.3">
      <c r="B4" s="8" t="s">
        <v>64</v>
      </c>
      <c r="G4" s="8" t="s">
        <v>65</v>
      </c>
      <c r="O4" s="9" t="s">
        <v>59</v>
      </c>
      <c r="P4" s="9" t="s">
        <v>1</v>
      </c>
      <c r="Q4" s="9" t="s">
        <v>0</v>
      </c>
      <c r="R4" s="9" t="s">
        <v>2</v>
      </c>
      <c r="S4" s="9" t="s">
        <v>58</v>
      </c>
      <c r="T4" s="9"/>
      <c r="U4" s="9" t="s">
        <v>60</v>
      </c>
      <c r="V4" s="9"/>
      <c r="W4" s="9"/>
      <c r="X4" s="9" t="s">
        <v>61</v>
      </c>
      <c r="Y4" s="9"/>
      <c r="Z4" s="9"/>
      <c r="AA4" s="9" t="s">
        <v>62</v>
      </c>
      <c r="AB4" s="9"/>
      <c r="AC4" s="9"/>
      <c r="AD4" s="9" t="s">
        <v>63</v>
      </c>
      <c r="AE4" s="9"/>
      <c r="AF4" s="9"/>
      <c r="AG4" s="6"/>
    </row>
    <row r="5" spans="2:33" ht="16.5" x14ac:dyDescent="0.25">
      <c r="C5" s="2" t="s">
        <v>57</v>
      </c>
      <c r="D5" s="2" t="s">
        <v>74</v>
      </c>
      <c r="G5" s="4" t="s">
        <v>3</v>
      </c>
      <c r="H5" s="10">
        <v>24.79</v>
      </c>
      <c r="O5" s="11" t="s">
        <v>20</v>
      </c>
      <c r="P5" s="9">
        <v>9199442</v>
      </c>
      <c r="Q5" s="9">
        <v>570249</v>
      </c>
      <c r="R5" s="9">
        <v>-117852</v>
      </c>
      <c r="S5" s="9">
        <v>0</v>
      </c>
      <c r="T5" s="9"/>
      <c r="U5" s="12">
        <f>P5</f>
        <v>9199442</v>
      </c>
      <c r="V5" s="12">
        <f t="shared" ref="V5:W5" si="0">Q5</f>
        <v>570249</v>
      </c>
      <c r="W5" s="12">
        <f t="shared" si="0"/>
        <v>-117852</v>
      </c>
      <c r="X5" s="12">
        <f>P6</f>
        <v>19174872</v>
      </c>
      <c r="Y5" s="12">
        <f t="shared" ref="Y5:Z5" si="1">Q6</f>
        <v>1355000</v>
      </c>
      <c r="Z5" s="12">
        <f t="shared" si="1"/>
        <v>187472</v>
      </c>
      <c r="AA5" s="12">
        <f>P7</f>
        <v>28993964</v>
      </c>
      <c r="AB5" s="12">
        <f t="shared" ref="AB5:AC5" si="2">Q7</f>
        <v>1922754</v>
      </c>
      <c r="AC5" s="12">
        <f t="shared" si="2"/>
        <v>188962</v>
      </c>
      <c r="AD5" s="12">
        <f>P8</f>
        <v>37981668</v>
      </c>
      <c r="AE5" s="12">
        <f t="shared" ref="AE5:AF5" si="3">Q8</f>
        <v>2348205</v>
      </c>
      <c r="AF5" s="12">
        <f t="shared" si="3"/>
        <v>-39364</v>
      </c>
      <c r="AG5" s="6"/>
    </row>
    <row r="6" spans="2:33" x14ac:dyDescent="0.25">
      <c r="B6" s="4" t="s">
        <v>1</v>
      </c>
      <c r="C6" s="13">
        <v>78345081</v>
      </c>
      <c r="D6" s="13">
        <v>82412210</v>
      </c>
      <c r="E6" s="14">
        <f>IF(D6&gt;C6,1,-1)</f>
        <v>1</v>
      </c>
      <c r="G6" s="4" t="s">
        <v>4</v>
      </c>
      <c r="H6" s="10">
        <v>24.86</v>
      </c>
      <c r="O6" s="11" t="s">
        <v>21</v>
      </c>
      <c r="P6" s="9">
        <v>19174872</v>
      </c>
      <c r="Q6" s="9">
        <v>1355000</v>
      </c>
      <c r="R6" s="9">
        <v>187472</v>
      </c>
      <c r="S6" s="9">
        <v>0</v>
      </c>
      <c r="T6" s="9"/>
      <c r="U6" s="12">
        <f>P9</f>
        <v>9165558</v>
      </c>
      <c r="V6" s="12">
        <f t="shared" ref="V6:W6" si="4">Q9</f>
        <v>341037</v>
      </c>
      <c r="W6" s="12">
        <f t="shared" si="4"/>
        <v>-377819</v>
      </c>
      <c r="X6" s="12">
        <f>P10</f>
        <v>19048015</v>
      </c>
      <c r="Y6" s="12">
        <f t="shared" ref="Y6:Z6" si="5">Q10</f>
        <v>1060506</v>
      </c>
      <c r="Z6" s="12">
        <f t="shared" si="5"/>
        <v>-198042</v>
      </c>
      <c r="AA6" s="12">
        <f>P11</f>
        <v>29542040</v>
      </c>
      <c r="AB6" s="12">
        <f t="shared" ref="AB6:AC6" si="6">Q11</f>
        <v>1946150</v>
      </c>
      <c r="AC6" s="12">
        <f t="shared" si="6"/>
        <v>528216</v>
      </c>
      <c r="AD6" s="12">
        <f>P12</f>
        <v>39863037</v>
      </c>
      <c r="AE6" s="12">
        <f t="shared" ref="AE6:AF6" si="7">Q12</f>
        <v>2754423</v>
      </c>
      <c r="AF6" s="12">
        <f t="shared" si="7"/>
        <v>661989</v>
      </c>
      <c r="AG6" s="6"/>
    </row>
    <row r="7" spans="2:33" x14ac:dyDescent="0.25">
      <c r="B7" s="4" t="s">
        <v>0</v>
      </c>
      <c r="C7" s="13">
        <v>21023022</v>
      </c>
      <c r="D7" s="13">
        <v>17751453</v>
      </c>
      <c r="E7" s="14">
        <f t="shared" ref="E7:E8" si="8">IF(D7&gt;C7,1,-1)</f>
        <v>-1</v>
      </c>
      <c r="G7" s="4" t="s">
        <v>5</v>
      </c>
      <c r="H7" s="10">
        <v>24.12</v>
      </c>
      <c r="O7" s="11" t="s">
        <v>22</v>
      </c>
      <c r="P7" s="9">
        <v>28993964</v>
      </c>
      <c r="Q7" s="9">
        <v>1922754</v>
      </c>
      <c r="R7" s="9">
        <v>188962</v>
      </c>
      <c r="S7" s="9">
        <v>0</v>
      </c>
      <c r="T7" s="9"/>
      <c r="U7" s="12">
        <f>P13</f>
        <v>10553776</v>
      </c>
      <c r="V7" s="12">
        <f t="shared" ref="V7:W7" si="9">Q13</f>
        <v>654182</v>
      </c>
      <c r="W7" s="12">
        <f t="shared" si="9"/>
        <v>-228325</v>
      </c>
      <c r="X7" s="12">
        <f>P14</f>
        <v>20996598</v>
      </c>
      <c r="Y7" s="12">
        <f t="shared" ref="Y7:Z7" si="10">Q14</f>
        <v>1283747</v>
      </c>
      <c r="Z7" s="12">
        <f t="shared" si="10"/>
        <v>528837</v>
      </c>
      <c r="AA7" s="12">
        <f>P15</f>
        <v>31702543</v>
      </c>
      <c r="AB7" s="12">
        <f t="shared" ref="AB7:AC7" si="11">Q15</f>
        <v>1952555</v>
      </c>
      <c r="AC7" s="12">
        <f t="shared" si="11"/>
        <v>772871</v>
      </c>
      <c r="AD7" s="12">
        <f>P16</f>
        <v>42546339</v>
      </c>
      <c r="AE7" s="12">
        <f t="shared" ref="AE7:AF7" si="12">Q16</f>
        <v>2898986</v>
      </c>
      <c r="AF7" s="12">
        <f t="shared" si="12"/>
        <v>950747</v>
      </c>
      <c r="AG7" s="6"/>
    </row>
    <row r="8" spans="2:33" x14ac:dyDescent="0.25">
      <c r="B8" s="4" t="s">
        <v>2</v>
      </c>
      <c r="C8" s="13">
        <v>-456550</v>
      </c>
      <c r="D8" s="13">
        <v>-1684791</v>
      </c>
      <c r="E8" s="14">
        <f t="shared" si="8"/>
        <v>-1</v>
      </c>
      <c r="G8" s="4" t="s">
        <v>6</v>
      </c>
      <c r="H8" s="10">
        <v>24.32</v>
      </c>
      <c r="O8" s="11" t="s">
        <v>23</v>
      </c>
      <c r="P8" s="9">
        <v>37981668</v>
      </c>
      <c r="Q8" s="9">
        <v>2348205</v>
      </c>
      <c r="R8" s="9">
        <v>-39364</v>
      </c>
      <c r="S8" s="9">
        <v>0</v>
      </c>
      <c r="T8" s="9"/>
      <c r="U8" s="12">
        <f>P17</f>
        <v>10447376</v>
      </c>
      <c r="V8" s="12">
        <f t="shared" ref="V8:W8" si="13">Q17</f>
        <v>485240</v>
      </c>
      <c r="W8" s="12">
        <f t="shared" si="13"/>
        <v>546193</v>
      </c>
      <c r="X8" s="12">
        <f>P18</f>
        <v>21206767</v>
      </c>
      <c r="Y8" s="12">
        <f t="shared" ref="Y8:Z8" si="14">Q18</f>
        <v>1043191</v>
      </c>
      <c r="Z8" s="12">
        <f t="shared" si="14"/>
        <v>740549</v>
      </c>
      <c r="AA8" s="12">
        <f>P19</f>
        <v>33132112</v>
      </c>
      <c r="AB8" s="12">
        <f t="shared" ref="AB8:AC8" si="15">Q19</f>
        <v>-230586</v>
      </c>
      <c r="AC8" s="12">
        <f t="shared" si="15"/>
        <v>2140557</v>
      </c>
      <c r="AD8" s="12">
        <f>P20</f>
        <v>43581241</v>
      </c>
      <c r="AE8" s="12">
        <f t="shared" ref="AE8:AF8" si="16">Q20</f>
        <v>-3215512</v>
      </c>
      <c r="AF8" s="12">
        <f t="shared" si="16"/>
        <v>2598109</v>
      </c>
      <c r="AG8" s="6"/>
    </row>
    <row r="9" spans="2:33" x14ac:dyDescent="0.25">
      <c r="B9" s="4" t="s">
        <v>7</v>
      </c>
      <c r="C9" s="7"/>
      <c r="D9" s="10">
        <v>1.0167782071825799</v>
      </c>
      <c r="E9" s="14">
        <f>IF(D9&gt;1,1,-1)</f>
        <v>1</v>
      </c>
      <c r="G9" s="4" t="s">
        <v>18</v>
      </c>
      <c r="H9" s="13">
        <v>86996743</v>
      </c>
      <c r="O9" s="11" t="s">
        <v>24</v>
      </c>
      <c r="P9" s="9">
        <v>9165558</v>
      </c>
      <c r="Q9" s="9">
        <v>341037</v>
      </c>
      <c r="R9" s="9">
        <v>-377819</v>
      </c>
      <c r="S9" s="9">
        <f>IF(P9&gt;P5,1,0)+IF(Q9&gt;Q5,1,0)+IF(R9&gt;R5,1,0)</f>
        <v>0</v>
      </c>
      <c r="T9" s="9"/>
      <c r="U9" s="12">
        <f>P21</f>
        <v>10084511</v>
      </c>
      <c r="V9" s="12">
        <f t="shared" ref="V9:W9" si="17">Q21</f>
        <v>201026</v>
      </c>
      <c r="W9" s="12">
        <f t="shared" si="17"/>
        <v>-918055</v>
      </c>
      <c r="X9" s="12">
        <f>P22</f>
        <v>20333289</v>
      </c>
      <c r="Y9" s="12">
        <f t="shared" ref="Y9:Z9" si="18">Q22</f>
        <v>629913</v>
      </c>
      <c r="Z9" s="12">
        <f t="shared" si="18"/>
        <v>-1838656</v>
      </c>
      <c r="AA9" s="12">
        <f>P23</f>
        <v>29032038</v>
      </c>
      <c r="AB9" s="12">
        <f t="shared" ref="AB9:AC9" si="19">Q23</f>
        <v>1223280</v>
      </c>
      <c r="AC9" s="12">
        <f t="shared" si="19"/>
        <v>-1699455</v>
      </c>
      <c r="AD9" s="12">
        <f>P24</f>
        <v>37651667</v>
      </c>
      <c r="AE9" s="12">
        <f t="shared" ref="AE9:AF9" si="20">Q24</f>
        <v>-1636360</v>
      </c>
      <c r="AF9" s="12">
        <f t="shared" si="20"/>
        <v>-584697</v>
      </c>
      <c r="AG9" s="6"/>
    </row>
    <row r="10" spans="2:33" ht="12.75" customHeight="1" x14ac:dyDescent="0.25">
      <c r="E10" s="15"/>
      <c r="O10" s="11" t="s">
        <v>25</v>
      </c>
      <c r="P10" s="9">
        <v>19048015</v>
      </c>
      <c r="Q10" s="9">
        <v>1060506</v>
      </c>
      <c r="R10" s="9">
        <v>-198042</v>
      </c>
      <c r="S10" s="9">
        <f t="shared" ref="S10:S49" si="21">IF(P10&gt;P6,1,0)+IF(Q10&gt;Q6,1,0)+IF(R10&gt;R6,1,0)</f>
        <v>0</v>
      </c>
      <c r="T10" s="9"/>
      <c r="U10" s="12">
        <f>P25</f>
        <v>8458664</v>
      </c>
      <c r="V10" s="12">
        <f t="shared" ref="V10:W10" si="22">Q25</f>
        <v>1206805</v>
      </c>
      <c r="W10" s="12">
        <f t="shared" si="22"/>
        <v>-587260</v>
      </c>
      <c r="X10" s="12">
        <f>P26</f>
        <v>17624517</v>
      </c>
      <c r="Y10" s="12">
        <f t="shared" ref="Y10:Z10" si="23">Q26</f>
        <v>1686895</v>
      </c>
      <c r="Z10" s="12">
        <f t="shared" si="23"/>
        <v>-757949</v>
      </c>
      <c r="AA10" s="12">
        <f>P27</f>
        <v>27100721</v>
      </c>
      <c r="AB10" s="12">
        <f t="shared" ref="AB10:AC10" si="24">Q27</f>
        <v>2267295</v>
      </c>
      <c r="AC10" s="12">
        <f t="shared" si="24"/>
        <v>-1800389</v>
      </c>
      <c r="AD10" s="12">
        <f>P28</f>
        <v>36917619</v>
      </c>
      <c r="AE10" s="12">
        <f t="shared" ref="AE10:AF10" si="25">Q28</f>
        <v>1100072</v>
      </c>
      <c r="AF10" s="12">
        <f t="shared" si="25"/>
        <v>-2508045</v>
      </c>
      <c r="AG10" s="6"/>
    </row>
    <row r="11" spans="2:33" ht="19.5" x14ac:dyDescent="0.3">
      <c r="B11" s="8" t="s">
        <v>17</v>
      </c>
      <c r="G11" s="8" t="s">
        <v>66</v>
      </c>
      <c r="O11" s="11" t="s">
        <v>26</v>
      </c>
      <c r="P11" s="9">
        <v>29542040</v>
      </c>
      <c r="Q11" s="9">
        <v>1946150</v>
      </c>
      <c r="R11" s="9">
        <v>528216</v>
      </c>
      <c r="S11" s="9">
        <f t="shared" si="21"/>
        <v>3</v>
      </c>
      <c r="T11" s="9"/>
      <c r="U11" s="12">
        <f>P29</f>
        <v>10388800</v>
      </c>
      <c r="V11" s="12">
        <f t="shared" ref="V11:W11" si="26">Q29</f>
        <v>963521</v>
      </c>
      <c r="W11" s="12">
        <f t="shared" si="26"/>
        <v>-179891</v>
      </c>
      <c r="X11" s="12">
        <f>P30</f>
        <v>22424155</v>
      </c>
      <c r="Y11" s="12">
        <f t="shared" ref="Y11:Z11" si="27">Q30</f>
        <v>2143693</v>
      </c>
      <c r="Z11" s="12">
        <f t="shared" si="27"/>
        <v>82353</v>
      </c>
      <c r="AA11" s="12">
        <f>P31</f>
        <v>35259776</v>
      </c>
      <c r="AB11" s="12">
        <f t="shared" ref="AB11:AC11" si="28">Q31</f>
        <v>3415147</v>
      </c>
      <c r="AC11" s="12">
        <f t="shared" si="28"/>
        <v>239858</v>
      </c>
      <c r="AD11" s="12">
        <f>P32</f>
        <v>46159478</v>
      </c>
      <c r="AE11" s="12">
        <f t="shared" ref="AE11:AF11" si="29">Q32</f>
        <v>4047226</v>
      </c>
      <c r="AF11" s="12">
        <f t="shared" si="29"/>
        <v>334806</v>
      </c>
      <c r="AG11" s="6"/>
    </row>
    <row r="12" spans="2:33" x14ac:dyDescent="0.25">
      <c r="B12" s="4" t="s">
        <v>10</v>
      </c>
      <c r="C12" s="13">
        <v>73814613</v>
      </c>
      <c r="D12" s="13">
        <v>73798652</v>
      </c>
      <c r="E12" s="14">
        <f>IF(D12&gt;C12,1,-1)</f>
        <v>-1</v>
      </c>
      <c r="G12" s="4" t="s">
        <v>14</v>
      </c>
      <c r="H12" s="13">
        <v>111900000000</v>
      </c>
      <c r="O12" s="11" t="s">
        <v>27</v>
      </c>
      <c r="P12" s="9">
        <v>39863037</v>
      </c>
      <c r="Q12" s="9">
        <v>2754423</v>
      </c>
      <c r="R12" s="9">
        <v>661989</v>
      </c>
      <c r="S12" s="9">
        <f t="shared" si="21"/>
        <v>3</v>
      </c>
      <c r="T12" s="9"/>
      <c r="U12" s="12">
        <f>P33</f>
        <v>10025661</v>
      </c>
      <c r="V12" s="12">
        <f t="shared" ref="V12:W12" si="30">Q33</f>
        <v>990003</v>
      </c>
      <c r="W12" s="12">
        <f t="shared" si="30"/>
        <v>-948380</v>
      </c>
      <c r="X12" s="12">
        <f>P34</f>
        <v>20179714</v>
      </c>
      <c r="Y12" s="12">
        <f t="shared" ref="Y12:Z12" si="31">Q34</f>
        <v>1915140</v>
      </c>
      <c r="Z12" s="12">
        <f t="shared" si="31"/>
        <v>-1139287</v>
      </c>
      <c r="AA12" s="12">
        <f>P35</f>
        <v>30110543</v>
      </c>
      <c r="AB12" s="12">
        <f t="shared" ref="AB12:AC12" si="32">Q35</f>
        <v>2616604</v>
      </c>
      <c r="AC12" s="12">
        <f t="shared" si="32"/>
        <v>-598728</v>
      </c>
      <c r="AD12" s="12">
        <f>P36</f>
        <v>39644010</v>
      </c>
      <c r="AE12" s="12">
        <f t="shared" ref="AE12:AF12" si="33">Q36</f>
        <v>3183934</v>
      </c>
      <c r="AF12" s="12">
        <f t="shared" si="33"/>
        <v>-248492</v>
      </c>
      <c r="AG12" s="6"/>
    </row>
    <row r="13" spans="2:33" x14ac:dyDescent="0.25">
      <c r="B13" s="4" t="s">
        <v>11</v>
      </c>
      <c r="C13" s="13">
        <v>30998964</v>
      </c>
      <c r="D13" s="13">
        <v>27500459</v>
      </c>
      <c r="E13" s="14">
        <f t="shared" ref="E13:E14" si="34">IF(D13&gt;C13,1,-1)</f>
        <v>-1</v>
      </c>
      <c r="G13" s="4" t="s">
        <v>15</v>
      </c>
      <c r="H13" s="16">
        <v>0.45266902096904099</v>
      </c>
      <c r="O13" s="11" t="s">
        <v>28</v>
      </c>
      <c r="P13" s="9">
        <v>10553776</v>
      </c>
      <c r="Q13" s="9">
        <v>654182</v>
      </c>
      <c r="R13" s="9">
        <v>-228325</v>
      </c>
      <c r="S13" s="9">
        <f t="shared" si="21"/>
        <v>3</v>
      </c>
      <c r="T13" s="9"/>
      <c r="U13" s="12">
        <f>P37</f>
        <v>9227541</v>
      </c>
      <c r="V13" s="12">
        <f t="shared" ref="V13:W13" si="35">Q37</f>
        <v>473409</v>
      </c>
      <c r="W13" s="12">
        <f t="shared" si="35"/>
        <v>1174202</v>
      </c>
      <c r="X13" s="12">
        <f>P38</f>
        <v>17972374</v>
      </c>
      <c r="Y13" s="12">
        <f t="shared" ref="Y13:Z13" si="36">Q38</f>
        <v>1249195</v>
      </c>
      <c r="Z13" s="12">
        <f t="shared" si="36"/>
        <v>1422009</v>
      </c>
      <c r="AA13" s="12">
        <f>P39</f>
        <v>30194482</v>
      </c>
      <c r="AB13" s="12">
        <f t="shared" ref="AB13:AC13" si="37">Q39</f>
        <v>2628937</v>
      </c>
      <c r="AC13" s="12">
        <f t="shared" si="37"/>
        <v>1529476</v>
      </c>
      <c r="AD13" s="12">
        <f>P40</f>
        <v>43814661</v>
      </c>
      <c r="AE13" s="12">
        <f t="shared" ref="AE13:AF13" si="38">Q40</f>
        <v>5194385</v>
      </c>
      <c r="AF13" s="12">
        <f t="shared" si="38"/>
        <v>1975552</v>
      </c>
      <c r="AG13" s="6"/>
    </row>
    <row r="14" spans="2:33" x14ac:dyDescent="0.25">
      <c r="B14" s="4" t="s">
        <v>12</v>
      </c>
      <c r="C14" s="13">
        <v>42815649</v>
      </c>
      <c r="D14" s="13">
        <v>46298193</v>
      </c>
      <c r="E14" s="14">
        <f t="shared" si="34"/>
        <v>1</v>
      </c>
      <c r="G14" s="4" t="s">
        <v>13</v>
      </c>
      <c r="H14" s="16">
        <v>0</v>
      </c>
      <c r="O14" s="11" t="s">
        <v>29</v>
      </c>
      <c r="P14" s="9">
        <v>20996598</v>
      </c>
      <c r="Q14" s="9">
        <v>1283747</v>
      </c>
      <c r="R14" s="9">
        <v>528837</v>
      </c>
      <c r="S14" s="9">
        <f t="shared" si="21"/>
        <v>3</v>
      </c>
      <c r="T14" s="9"/>
      <c r="U14" s="12">
        <f>P41</f>
        <v>16342984</v>
      </c>
      <c r="V14" s="12">
        <f t="shared" ref="V14:W14" si="39">Q41</f>
        <v>3557887</v>
      </c>
      <c r="W14" s="12">
        <f t="shared" si="39"/>
        <v>-375332</v>
      </c>
      <c r="X14" s="12">
        <f>P42</f>
        <v>35473100</v>
      </c>
      <c r="Y14" s="12">
        <f t="shared" ref="Y14:Z14" si="40">Q42</f>
        <v>9120581</v>
      </c>
      <c r="Z14" s="12">
        <f t="shared" si="40"/>
        <v>-1590976</v>
      </c>
      <c r="AA14" s="12">
        <f>P43</f>
        <v>56790157</v>
      </c>
      <c r="AB14" s="12">
        <f t="shared" ref="AB14:AC14" si="41">Q43</f>
        <v>16509346</v>
      </c>
      <c r="AC14" s="12">
        <f t="shared" si="41"/>
        <v>-641127</v>
      </c>
      <c r="AD14" s="12">
        <f>P44</f>
        <v>78345081</v>
      </c>
      <c r="AE14" s="12">
        <f t="shared" ref="AE14:AF14" si="42">Q44</f>
        <v>21023022</v>
      </c>
      <c r="AF14" s="12">
        <f t="shared" si="42"/>
        <v>-456550</v>
      </c>
      <c r="AG14" s="6"/>
    </row>
    <row r="15" spans="2:33" x14ac:dyDescent="0.25">
      <c r="G15" s="4" t="s">
        <v>69</v>
      </c>
      <c r="H15" s="17">
        <v>5.6677306906685399</v>
      </c>
      <c r="O15" s="11" t="s">
        <v>30</v>
      </c>
      <c r="P15" s="9">
        <v>31702543</v>
      </c>
      <c r="Q15" s="9">
        <v>1952555</v>
      </c>
      <c r="R15" s="9">
        <v>772871</v>
      </c>
      <c r="S15" s="9">
        <f t="shared" si="21"/>
        <v>3</v>
      </c>
      <c r="T15" s="9"/>
      <c r="U15" s="12">
        <f>P45</f>
        <v>20330491</v>
      </c>
      <c r="V15" s="12">
        <f>Q45</f>
        <v>5013527</v>
      </c>
      <c r="W15" s="12">
        <f>R45</f>
        <v>734507</v>
      </c>
      <c r="X15" s="12">
        <f>P46</f>
        <v>43298933</v>
      </c>
      <c r="Y15" s="12">
        <f t="shared" ref="Y15:Z15" si="43">Q46</f>
        <v>10804163</v>
      </c>
      <c r="Z15" s="12">
        <f t="shared" si="43"/>
        <v>1616099</v>
      </c>
      <c r="AA15" s="12">
        <f>P47</f>
        <v>64448165</v>
      </c>
      <c r="AB15" s="12">
        <f t="shared" ref="AB15:AC15" si="44">Q47</f>
        <v>15266679</v>
      </c>
      <c r="AC15" s="12">
        <f t="shared" si="44"/>
        <v>2024997</v>
      </c>
      <c r="AD15" s="12">
        <f>P48</f>
        <v>82412210</v>
      </c>
      <c r="AE15" s="12">
        <f t="shared" ref="AE15:AF15" si="45">Q48</f>
        <v>17751453</v>
      </c>
      <c r="AF15" s="12">
        <f t="shared" si="45"/>
        <v>-1684791</v>
      </c>
      <c r="AG15" s="6"/>
    </row>
    <row r="16" spans="2:33" x14ac:dyDescent="0.25">
      <c r="G16" s="4" t="s">
        <v>16</v>
      </c>
      <c r="H16" s="18">
        <v>7.1920075778950903</v>
      </c>
      <c r="O16" s="11" t="s">
        <v>31</v>
      </c>
      <c r="P16" s="9">
        <v>42546339</v>
      </c>
      <c r="Q16" s="9">
        <v>2898986</v>
      </c>
      <c r="R16" s="9">
        <v>950747</v>
      </c>
      <c r="S16" s="9">
        <f t="shared" si="21"/>
        <v>3</v>
      </c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6"/>
    </row>
    <row r="17" spans="7:33" x14ac:dyDescent="0.25">
      <c r="O17" s="11" t="s">
        <v>32</v>
      </c>
      <c r="P17" s="9">
        <v>10447376</v>
      </c>
      <c r="Q17" s="9">
        <v>485240</v>
      </c>
      <c r="R17" s="9">
        <v>546193</v>
      </c>
      <c r="S17" s="9">
        <f t="shared" si="21"/>
        <v>1</v>
      </c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6"/>
    </row>
    <row r="18" spans="7:33" ht="12.75" customHeight="1" x14ac:dyDescent="0.25">
      <c r="O18" s="11" t="s">
        <v>33</v>
      </c>
      <c r="P18" s="9">
        <v>21206767</v>
      </c>
      <c r="Q18" s="9">
        <v>1043191</v>
      </c>
      <c r="R18" s="9">
        <v>740549</v>
      </c>
      <c r="S18" s="9">
        <f t="shared" si="21"/>
        <v>2</v>
      </c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6"/>
    </row>
    <row r="19" spans="7:33" ht="24" customHeight="1" x14ac:dyDescent="0.4">
      <c r="G19" s="8" t="s">
        <v>19</v>
      </c>
      <c r="H19" s="19" t="str">
        <f>IF(AND(D14&gt;0,SUM(E6:E8)=3,E9=-1),"BUY",IF(OR(SUM(E6:E9)&lt;0,D14&lt;0),"SELL",IF(AND(SUM(E6:E9)&lt;=2,SUM(E6:E9)&gt;=0),"OUT","KEEP IT")))</f>
        <v>OUT</v>
      </c>
      <c r="O19" s="11" t="s">
        <v>34</v>
      </c>
      <c r="P19" s="9">
        <v>33132112</v>
      </c>
      <c r="Q19" s="9">
        <v>-230586</v>
      </c>
      <c r="R19" s="9">
        <v>2140557</v>
      </c>
      <c r="S19" s="9">
        <f t="shared" si="21"/>
        <v>2</v>
      </c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6"/>
    </row>
    <row r="20" spans="7:33" x14ac:dyDescent="0.25">
      <c r="H20" s="4" t="str">
        <f>IF(AND(H12&gt;500000000,H12&lt;5000000000),"(SMALLCAP)",IF(H12&lt;500000000,"(MICROCAP)",IF(AND(H12&gt;5000000000,H12&lt;12000000000),"(MIDCAP)","(LARGECAP)")))</f>
        <v>(LARGECAP)</v>
      </c>
      <c r="O20" s="11" t="s">
        <v>35</v>
      </c>
      <c r="P20" s="9">
        <v>43581241</v>
      </c>
      <c r="Q20" s="9">
        <v>-3215512</v>
      </c>
      <c r="R20" s="9">
        <v>2598109</v>
      </c>
      <c r="S20" s="9">
        <f t="shared" si="21"/>
        <v>2</v>
      </c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6"/>
    </row>
    <row r="21" spans="7:33" ht="27" customHeight="1" x14ac:dyDescent="0.25">
      <c r="O21" s="11" t="s">
        <v>36</v>
      </c>
      <c r="P21" s="9">
        <v>10084511</v>
      </c>
      <c r="Q21" s="9">
        <v>201026</v>
      </c>
      <c r="R21" s="9">
        <v>-918055</v>
      </c>
      <c r="S21" s="9">
        <f t="shared" si="21"/>
        <v>0</v>
      </c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6"/>
    </row>
    <row r="22" spans="7:33" x14ac:dyDescent="0.25">
      <c r="O22" s="11" t="s">
        <v>37</v>
      </c>
      <c r="P22" s="9">
        <v>20333289</v>
      </c>
      <c r="Q22" s="9">
        <v>629913</v>
      </c>
      <c r="R22" s="9">
        <v>-1838656</v>
      </c>
      <c r="S22" s="9">
        <f t="shared" si="21"/>
        <v>0</v>
      </c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6"/>
    </row>
    <row r="23" spans="7:33" x14ac:dyDescent="0.25">
      <c r="O23" s="11" t="s">
        <v>38</v>
      </c>
      <c r="P23" s="9">
        <v>29032038</v>
      </c>
      <c r="Q23" s="9">
        <v>1223280</v>
      </c>
      <c r="R23" s="9">
        <v>-1699455</v>
      </c>
      <c r="S23" s="9">
        <f t="shared" si="21"/>
        <v>1</v>
      </c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6"/>
    </row>
    <row r="24" spans="7:33" x14ac:dyDescent="0.25">
      <c r="O24" s="11" t="s">
        <v>39</v>
      </c>
      <c r="P24" s="9">
        <v>37651667</v>
      </c>
      <c r="Q24" s="9">
        <v>-1636360</v>
      </c>
      <c r="R24" s="9">
        <v>-584697</v>
      </c>
      <c r="S24" s="9">
        <f t="shared" si="21"/>
        <v>1</v>
      </c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6"/>
    </row>
    <row r="25" spans="7:33" x14ac:dyDescent="0.25">
      <c r="O25" s="11" t="s">
        <v>40</v>
      </c>
      <c r="P25" s="9">
        <v>8458664</v>
      </c>
      <c r="Q25" s="9">
        <v>1206805</v>
      </c>
      <c r="R25" s="9">
        <v>-587260</v>
      </c>
      <c r="S25" s="9">
        <f t="shared" si="21"/>
        <v>2</v>
      </c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6"/>
    </row>
    <row r="26" spans="7:33" x14ac:dyDescent="0.25">
      <c r="O26" s="11" t="s">
        <v>41</v>
      </c>
      <c r="P26" s="9">
        <v>17624517</v>
      </c>
      <c r="Q26" s="9">
        <v>1686895</v>
      </c>
      <c r="R26" s="9">
        <v>-757949</v>
      </c>
      <c r="S26" s="9">
        <f t="shared" si="21"/>
        <v>2</v>
      </c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6"/>
    </row>
    <row r="27" spans="7:33" x14ac:dyDescent="0.25">
      <c r="O27" s="11" t="s">
        <v>42</v>
      </c>
      <c r="P27" s="9">
        <v>27100721</v>
      </c>
      <c r="Q27" s="9">
        <v>2267295</v>
      </c>
      <c r="R27" s="9">
        <v>-1800389</v>
      </c>
      <c r="S27" s="9">
        <f t="shared" si="21"/>
        <v>1</v>
      </c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6"/>
    </row>
    <row r="28" spans="7:33" x14ac:dyDescent="0.25">
      <c r="O28" s="11" t="s">
        <v>43</v>
      </c>
      <c r="P28" s="9">
        <v>36917619</v>
      </c>
      <c r="Q28" s="9">
        <v>1100072</v>
      </c>
      <c r="R28" s="9">
        <v>-2508045</v>
      </c>
      <c r="S28" s="9">
        <f t="shared" si="21"/>
        <v>1</v>
      </c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6"/>
    </row>
    <row r="29" spans="7:33" x14ac:dyDescent="0.25">
      <c r="O29" s="11" t="s">
        <v>44</v>
      </c>
      <c r="P29" s="9">
        <v>10388800</v>
      </c>
      <c r="Q29" s="9">
        <v>963521</v>
      </c>
      <c r="R29" s="9">
        <v>-179891</v>
      </c>
      <c r="S29" s="9">
        <f t="shared" si="21"/>
        <v>2</v>
      </c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6"/>
    </row>
    <row r="30" spans="7:33" x14ac:dyDescent="0.25">
      <c r="O30" s="11" t="s">
        <v>45</v>
      </c>
      <c r="P30" s="9">
        <v>22424155</v>
      </c>
      <c r="Q30" s="9">
        <v>2143693</v>
      </c>
      <c r="R30" s="9">
        <v>82353</v>
      </c>
      <c r="S30" s="9">
        <f t="shared" si="21"/>
        <v>3</v>
      </c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6"/>
    </row>
    <row r="31" spans="7:33" x14ac:dyDescent="0.25">
      <c r="O31" s="11" t="s">
        <v>46</v>
      </c>
      <c r="P31" s="9">
        <v>35259776</v>
      </c>
      <c r="Q31" s="9">
        <v>3415147</v>
      </c>
      <c r="R31" s="9">
        <v>239858</v>
      </c>
      <c r="S31" s="9">
        <f t="shared" si="21"/>
        <v>3</v>
      </c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6"/>
    </row>
    <row r="32" spans="7:33" x14ac:dyDescent="0.25">
      <c r="O32" s="11" t="s">
        <v>47</v>
      </c>
      <c r="P32" s="9">
        <v>46159478</v>
      </c>
      <c r="Q32" s="9">
        <v>4047226</v>
      </c>
      <c r="R32" s="9">
        <v>334806</v>
      </c>
      <c r="S32" s="9">
        <f t="shared" si="21"/>
        <v>3</v>
      </c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6"/>
    </row>
    <row r="33" spans="15:33" x14ac:dyDescent="0.25">
      <c r="O33" s="11" t="s">
        <v>48</v>
      </c>
      <c r="P33" s="9">
        <v>10025661</v>
      </c>
      <c r="Q33" s="9">
        <v>990003</v>
      </c>
      <c r="R33" s="9">
        <v>-948380</v>
      </c>
      <c r="S33" s="9">
        <f t="shared" si="21"/>
        <v>1</v>
      </c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6"/>
    </row>
    <row r="34" spans="15:33" x14ac:dyDescent="0.25">
      <c r="O34" s="11" t="s">
        <v>49</v>
      </c>
      <c r="P34" s="9">
        <v>20179714</v>
      </c>
      <c r="Q34" s="9">
        <v>1915140</v>
      </c>
      <c r="R34" s="9">
        <v>-1139287</v>
      </c>
      <c r="S34" s="9">
        <f t="shared" si="21"/>
        <v>0</v>
      </c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6"/>
    </row>
    <row r="35" spans="15:33" x14ac:dyDescent="0.25">
      <c r="O35" s="11" t="s">
        <v>50</v>
      </c>
      <c r="P35" s="9">
        <v>30110543</v>
      </c>
      <c r="Q35" s="9">
        <v>2616604</v>
      </c>
      <c r="R35" s="9">
        <v>-598728</v>
      </c>
      <c r="S35" s="9">
        <f t="shared" si="21"/>
        <v>0</v>
      </c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6"/>
    </row>
    <row r="36" spans="15:33" x14ac:dyDescent="0.25">
      <c r="O36" s="11" t="s">
        <v>51</v>
      </c>
      <c r="P36" s="9">
        <v>39644010</v>
      </c>
      <c r="Q36" s="9">
        <v>3183934</v>
      </c>
      <c r="R36" s="9">
        <v>-248492</v>
      </c>
      <c r="S36" s="9">
        <f t="shared" si="21"/>
        <v>0</v>
      </c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6"/>
    </row>
    <row r="37" spans="15:33" x14ac:dyDescent="0.25">
      <c r="O37" s="11" t="s">
        <v>52</v>
      </c>
      <c r="P37" s="9">
        <v>9227541</v>
      </c>
      <c r="Q37" s="9">
        <v>473409</v>
      </c>
      <c r="R37" s="9">
        <v>1174202</v>
      </c>
      <c r="S37" s="9">
        <f t="shared" si="21"/>
        <v>1</v>
      </c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6"/>
    </row>
    <row r="38" spans="15:33" x14ac:dyDescent="0.25">
      <c r="O38" s="11" t="s">
        <v>53</v>
      </c>
      <c r="P38" s="9">
        <v>17972374</v>
      </c>
      <c r="Q38" s="9">
        <v>1249195</v>
      </c>
      <c r="R38" s="9">
        <v>1422009</v>
      </c>
      <c r="S38" s="9">
        <f t="shared" si="21"/>
        <v>1</v>
      </c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6"/>
    </row>
    <row r="39" spans="15:33" x14ac:dyDescent="0.25">
      <c r="O39" s="11" t="s">
        <v>9</v>
      </c>
      <c r="P39" s="9">
        <v>30194482</v>
      </c>
      <c r="Q39" s="9">
        <v>2628937</v>
      </c>
      <c r="R39" s="9">
        <v>1529476</v>
      </c>
      <c r="S39" s="9">
        <f t="shared" si="21"/>
        <v>3</v>
      </c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6"/>
    </row>
    <row r="40" spans="15:33" x14ac:dyDescent="0.25">
      <c r="O40" s="11" t="s">
        <v>54</v>
      </c>
      <c r="P40" s="9">
        <v>43814661</v>
      </c>
      <c r="Q40" s="9">
        <v>5194385</v>
      </c>
      <c r="R40" s="9">
        <v>1975552</v>
      </c>
      <c r="S40" s="9">
        <f t="shared" si="21"/>
        <v>3</v>
      </c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6"/>
    </row>
    <row r="41" spans="15:33" x14ac:dyDescent="0.25">
      <c r="O41" s="11" t="s">
        <v>55</v>
      </c>
      <c r="P41" s="9">
        <v>16342984</v>
      </c>
      <c r="Q41" s="9">
        <v>3557887</v>
      </c>
      <c r="R41" s="9">
        <v>-375332</v>
      </c>
      <c r="S41" s="9">
        <f t="shared" si="21"/>
        <v>2</v>
      </c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6"/>
    </row>
    <row r="42" spans="15:33" x14ac:dyDescent="0.25">
      <c r="O42" s="11" t="s">
        <v>56</v>
      </c>
      <c r="P42" s="9">
        <v>35473100</v>
      </c>
      <c r="Q42" s="9">
        <v>9120581</v>
      </c>
      <c r="R42" s="9">
        <v>-1590976</v>
      </c>
      <c r="S42" s="9">
        <f t="shared" si="21"/>
        <v>2</v>
      </c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6"/>
    </row>
    <row r="43" spans="15:33" x14ac:dyDescent="0.25">
      <c r="O43" s="11" t="s">
        <v>8</v>
      </c>
      <c r="P43" s="9">
        <v>56790157</v>
      </c>
      <c r="Q43" s="9">
        <v>16509346</v>
      </c>
      <c r="R43" s="9">
        <v>-641127</v>
      </c>
      <c r="S43" s="9">
        <f t="shared" si="21"/>
        <v>2</v>
      </c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6"/>
    </row>
    <row r="44" spans="15:33" x14ac:dyDescent="0.25">
      <c r="O44" s="11" t="s">
        <v>57</v>
      </c>
      <c r="P44" s="9">
        <v>78345081</v>
      </c>
      <c r="Q44" s="9">
        <v>21023022</v>
      </c>
      <c r="R44" s="9">
        <v>-456550</v>
      </c>
      <c r="S44" s="9">
        <f t="shared" si="21"/>
        <v>2</v>
      </c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6"/>
    </row>
    <row r="45" spans="15:33" x14ac:dyDescent="0.25">
      <c r="O45" s="11" t="s">
        <v>72</v>
      </c>
      <c r="P45" s="9">
        <v>20330491</v>
      </c>
      <c r="Q45" s="9">
        <v>5013527</v>
      </c>
      <c r="R45" s="9">
        <v>734507</v>
      </c>
      <c r="S45" s="9">
        <f t="shared" si="21"/>
        <v>3</v>
      </c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6"/>
    </row>
    <row r="46" spans="15:33" x14ac:dyDescent="0.25">
      <c r="O46" s="11" t="s">
        <v>70</v>
      </c>
      <c r="P46" s="9">
        <v>43298933</v>
      </c>
      <c r="Q46" s="9">
        <v>10804163</v>
      </c>
      <c r="R46" s="9">
        <v>1616099</v>
      </c>
      <c r="S46" s="9">
        <f t="shared" si="21"/>
        <v>3</v>
      </c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</row>
    <row r="47" spans="15:33" x14ac:dyDescent="0.25">
      <c r="O47" s="11" t="s">
        <v>73</v>
      </c>
      <c r="P47" s="9">
        <v>64448165</v>
      </c>
      <c r="Q47" s="9">
        <v>15266679</v>
      </c>
      <c r="R47" s="9">
        <v>2024997</v>
      </c>
      <c r="S47" s="9">
        <f t="shared" si="21"/>
        <v>2</v>
      </c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</row>
    <row r="48" spans="15:33" x14ac:dyDescent="0.25">
      <c r="O48" s="11" t="s">
        <v>74</v>
      </c>
      <c r="P48" s="9">
        <v>82412210</v>
      </c>
      <c r="Q48" s="9">
        <v>17751453</v>
      </c>
      <c r="R48" s="9">
        <v>-1684791</v>
      </c>
      <c r="S48" s="9">
        <f t="shared" si="21"/>
        <v>1</v>
      </c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</row>
    <row r="49" spans="15:32" x14ac:dyDescent="0.25">
      <c r="O49" s="11" t="s">
        <v>75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</row>
    <row r="50" spans="15:32" x14ac:dyDescent="0.25">
      <c r="O50" s="20"/>
    </row>
    <row r="51" spans="15:32" x14ac:dyDescent="0.25">
      <c r="O51" s="20"/>
    </row>
    <row r="52" spans="15:32" x14ac:dyDescent="0.25">
      <c r="O52" s="20"/>
    </row>
  </sheetData>
  <sheetProtection sheet="1" objects="1" scenarios="1" selectLockedCells="1"/>
  <phoneticPr fontId="11" type="noConversion"/>
  <conditionalFormatting sqref="H19">
    <cfRule type="iconSet" priority="1">
      <iconSet iconSet="4Rating">
        <cfvo type="percent" val="0"/>
        <cfvo type="percent" val="25"/>
        <cfvo type="percent" val="50"/>
        <cfvo type="percent" val="75"/>
      </iconSet>
    </cfRule>
    <cfRule type="cellIs" dxfId="3" priority="2" operator="equal">
      <formula>"KEEP IT"</formula>
    </cfRule>
    <cfRule type="cellIs" dxfId="2" priority="3" operator="equal">
      <formula>"SELL"</formula>
    </cfRule>
    <cfRule type="cellIs" dxfId="1" priority="4" operator="equal">
      <formula>"BUY"</formula>
    </cfRule>
    <cfRule type="cellIs" dxfId="0" priority="5" operator="equal">
      <formula>"OUT"</formula>
    </cfRule>
  </conditionalFormatting>
  <pageMargins left="0.511811024" right="0.511811024" top="0.78740157499999996" bottom="0.78740157499999996" header="0.31496062000000002" footer="0.31496062000000002"/>
  <pageSetup paperSize="9" scale="42" orientation="portrait" r:id="rId1"/>
  <ignoredErrors>
    <ignoredError sqref="S9:S45 U5:AF15 S46:S48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00000000-000E-0000-0100-000006000000}">
            <x14:iconSet iconSet="3Arrow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iangles" iconId="0"/>
              <x14:cfIcon iconSet="3Triangles" iconId="1"/>
              <x14:cfIcon iconSet="3Triangles" iconId="2"/>
            </x14:iconSet>
          </x14:cfRule>
          <xm:sqref>E6:E9</xm:sqref>
        </x14:conditionalFormatting>
        <x14:conditionalFormatting xmlns:xm="http://schemas.microsoft.com/office/excel/2006/main">
          <x14:cfRule type="iconSet" priority="6" id="{00000000-000E-0000-0100-000001000000}">
            <x14:iconSet iconSet="3Arrow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iangles" iconId="0"/>
              <x14:cfIcon iconSet="3Triangles" iconId="1"/>
              <x14:cfIcon iconSet="3Triangles" iconId="2"/>
            </x14:iconSet>
          </x14:cfRule>
          <xm:sqref>E12:E14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DASHBOARD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Chamma</dc:creator>
  <cp:lastModifiedBy>Marcelo Chamma</cp:lastModifiedBy>
  <dcterms:created xsi:type="dcterms:W3CDTF">2022-01-22T14:15:12Z</dcterms:created>
  <dcterms:modified xsi:type="dcterms:W3CDTF">2023-04-25T15:05:27Z</dcterms:modified>
</cp:coreProperties>
</file>