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MM\"/>
    </mc:Choice>
  </mc:AlternateContent>
  <xr:revisionPtr revIDLastSave="0" documentId="13_ncr:1_{46F57729-5939-47E6-8167-26B06110EF6F}" xr6:coauthVersionLast="47" xr6:coauthVersionMax="47" xr10:uidLastSave="{00000000-0000-0000-0000-000000000000}"/>
  <bookViews>
    <workbookView xWindow="-120" yWindow="-120" windowWidth="29040" windowHeight="15990" xr2:uid="{EDDB82A8-48BC-481A-B9A3-9073B560FC2B}"/>
  </bookViews>
  <sheets>
    <sheet name="Planilha2" sheetId="2" r:id="rId1"/>
  </sheets>
  <functionGroups builtInGroupCount="19"/>
  <definedNames>
    <definedName name="_xlchart.v1.0" hidden="1">Planilha2!$B$12:$B$14</definedName>
    <definedName name="_xlchart.v1.1" hidden="1">Planilha2!$D$12:$D$14</definedName>
    <definedName name="_xlnm.Print_Area" localSheetId="0">Planilha2!$A$1:$N$44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5" i="2" l="1"/>
  <c r="AA5" i="2"/>
  <c r="Z6" i="2"/>
  <c r="AA6" i="2"/>
  <c r="Z7" i="2"/>
  <c r="AA7" i="2"/>
  <c r="Z8" i="2"/>
  <c r="AA8" i="2"/>
  <c r="Z9" i="2"/>
  <c r="AA9" i="2"/>
  <c r="Z10" i="2"/>
  <c r="AA10" i="2"/>
  <c r="Z11" i="2"/>
  <c r="AA11" i="2"/>
  <c r="Z12" i="2"/>
  <c r="AA12" i="2"/>
  <c r="Z13" i="2"/>
  <c r="AA13" i="2"/>
  <c r="Z14" i="2"/>
  <c r="AA14" i="2"/>
  <c r="W5" i="2"/>
  <c r="X5" i="2"/>
  <c r="W6" i="2"/>
  <c r="X6" i="2"/>
  <c r="W7" i="2"/>
  <c r="X7" i="2"/>
  <c r="W8" i="2"/>
  <c r="X8" i="2"/>
  <c r="W9" i="2"/>
  <c r="X9" i="2"/>
  <c r="W10" i="2"/>
  <c r="X10" i="2"/>
  <c r="W11" i="2"/>
  <c r="X11" i="2"/>
  <c r="W12" i="2"/>
  <c r="X12" i="2"/>
  <c r="W13" i="2"/>
  <c r="X13" i="2"/>
  <c r="W14" i="2"/>
  <c r="X14" i="2"/>
  <c r="T5" i="2"/>
  <c r="U5" i="2"/>
  <c r="T6" i="2"/>
  <c r="U6" i="2"/>
  <c r="T7" i="2"/>
  <c r="U7" i="2"/>
  <c r="T8" i="2"/>
  <c r="U8" i="2"/>
  <c r="T9" i="2"/>
  <c r="U9" i="2"/>
  <c r="T10" i="2"/>
  <c r="U10" i="2"/>
  <c r="T11" i="2"/>
  <c r="U11" i="2"/>
  <c r="T12" i="2"/>
  <c r="U12" i="2"/>
  <c r="T13" i="2"/>
  <c r="U13" i="2"/>
  <c r="T14" i="2"/>
  <c r="U14" i="2"/>
  <c r="Q5" i="2"/>
  <c r="R5" i="2"/>
  <c r="Q6" i="2"/>
  <c r="R6" i="2"/>
  <c r="Q7" i="2"/>
  <c r="R7" i="2"/>
  <c r="Q8" i="2"/>
  <c r="R8" i="2"/>
  <c r="Q9" i="2"/>
  <c r="R9" i="2"/>
  <c r="Q10" i="2"/>
  <c r="R10" i="2"/>
  <c r="Q11" i="2"/>
  <c r="R11" i="2"/>
  <c r="Q12" i="2"/>
  <c r="R12" i="2"/>
  <c r="Q13" i="2"/>
  <c r="R13" i="2"/>
  <c r="Q14" i="2"/>
  <c r="R14" i="2"/>
  <c r="Y14" i="2"/>
  <c r="Y13" i="2"/>
  <c r="Y12" i="2"/>
  <c r="Y11" i="2"/>
  <c r="Y10" i="2"/>
  <c r="Y9" i="2"/>
  <c r="Y8" i="2"/>
  <c r="Y7" i="2"/>
  <c r="Y6" i="2"/>
  <c r="Y5" i="2"/>
  <c r="V14" i="2"/>
  <c r="V13" i="2"/>
  <c r="V12" i="2"/>
  <c r="V11" i="2"/>
  <c r="V10" i="2"/>
  <c r="V9" i="2"/>
  <c r="V8" i="2"/>
  <c r="V7" i="2"/>
  <c r="V6" i="2"/>
  <c r="V5" i="2"/>
  <c r="S14" i="2"/>
  <c r="S13" i="2"/>
  <c r="S12" i="2"/>
  <c r="S11" i="2"/>
  <c r="S10" i="2"/>
  <c r="S9" i="2"/>
  <c r="S8" i="2"/>
  <c r="S7" i="2"/>
  <c r="S6" i="2"/>
  <c r="S5" i="2"/>
  <c r="P14" i="2"/>
  <c r="P13" i="2"/>
  <c r="P12" i="2"/>
  <c r="P11" i="2"/>
  <c r="P10" i="2"/>
  <c r="P9" i="2"/>
  <c r="P8" i="2"/>
  <c r="P7" i="2"/>
  <c r="P6" i="2"/>
  <c r="P5" i="2"/>
  <c r="H20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9" i="2"/>
  <c r="E13" i="2"/>
  <c r="E14" i="2"/>
  <c r="E12" i="2"/>
  <c r="E9" i="2"/>
  <c r="E7" i="2"/>
  <c r="E8" i="2"/>
  <c r="E6" i="2"/>
  <c r="H19" i="2" l="1"/>
</calcChain>
</file>

<file path=xl/sharedStrings.xml><?xml version="1.0" encoding="utf-8"?>
<sst xmlns="http://schemas.openxmlformats.org/spreadsheetml/2006/main" count="76" uniqueCount="72">
  <si>
    <t>EBIT</t>
  </si>
  <si>
    <t>RECEITA</t>
  </si>
  <si>
    <t>GER_CAIXA</t>
  </si>
  <si>
    <t>OPEN</t>
  </si>
  <si>
    <t>HIGH</t>
  </si>
  <si>
    <t>LOW</t>
  </si>
  <si>
    <t>CLOSE</t>
  </si>
  <si>
    <t>M9_M21</t>
  </si>
  <si>
    <t>2021-09-30</t>
  </si>
  <si>
    <t>2020-09-30</t>
  </si>
  <si>
    <t>ATIVO</t>
  </si>
  <si>
    <t>PASSIVO</t>
  </si>
  <si>
    <t>PL</t>
  </si>
  <si>
    <t>ROE</t>
  </si>
  <si>
    <t>MKT CAP</t>
  </si>
  <si>
    <t>ROIC</t>
  </si>
  <si>
    <t>P/LPA</t>
  </si>
  <si>
    <t>BP</t>
  </si>
  <si>
    <t>VOLUME FIN</t>
  </si>
  <si>
    <t>GUIDANCE:</t>
  </si>
  <si>
    <t>2012-03-31</t>
  </si>
  <si>
    <t>2012-06-30</t>
  </si>
  <si>
    <t>2012-09-30</t>
  </si>
  <si>
    <t>2012-12-31</t>
  </si>
  <si>
    <t>2013-03-31</t>
  </si>
  <si>
    <t>2013-06-30</t>
  </si>
  <si>
    <t>2013-09-30</t>
  </si>
  <si>
    <t>2013-12-31</t>
  </si>
  <si>
    <t>2014-03-31</t>
  </si>
  <si>
    <t>2014-06-30</t>
  </si>
  <si>
    <t>2014-09-30</t>
  </si>
  <si>
    <t>2014-12-31</t>
  </si>
  <si>
    <t>2015-03-31</t>
  </si>
  <si>
    <t>2015-06-30</t>
  </si>
  <si>
    <t>2015-09-30</t>
  </si>
  <si>
    <t>2015-12-31</t>
  </si>
  <si>
    <t>2016-03-31</t>
  </si>
  <si>
    <t>2016-06-30</t>
  </si>
  <si>
    <t>2016-09-30</t>
  </si>
  <si>
    <t>2016-12-31</t>
  </si>
  <si>
    <t>2017-03-31</t>
  </si>
  <si>
    <t>2017-06-30</t>
  </si>
  <si>
    <t>2017-09-30</t>
  </si>
  <si>
    <t>2017-12-31</t>
  </si>
  <si>
    <t>2018-03-31</t>
  </si>
  <si>
    <t>2018-06-30</t>
  </si>
  <si>
    <t>2018-09-30</t>
  </si>
  <si>
    <t>2018-12-31</t>
  </si>
  <si>
    <t>2019-03-31</t>
  </si>
  <si>
    <t>2019-06-30</t>
  </si>
  <si>
    <t>2019-09-30</t>
  </si>
  <si>
    <t>2019-12-31</t>
  </si>
  <si>
    <t>2020-03-31</t>
  </si>
  <si>
    <t>2020-06-30</t>
  </si>
  <si>
    <t>2020-12-31</t>
  </si>
  <si>
    <t>2021-03-31</t>
  </si>
  <si>
    <t>2021-06-30</t>
  </si>
  <si>
    <t>2021-12-31</t>
  </si>
  <si>
    <t>SCORE</t>
  </si>
  <si>
    <t>DATA</t>
  </si>
  <si>
    <t>Q1</t>
  </si>
  <si>
    <t>Q2</t>
  </si>
  <si>
    <t>Q3</t>
  </si>
  <si>
    <t>Q4</t>
  </si>
  <si>
    <t>ANÁLISE FUNDAMENTALISTA</t>
  </si>
  <si>
    <t>DADOS DE MERCADO</t>
  </si>
  <si>
    <t>MÚLTIPLOS</t>
  </si>
  <si>
    <t>INSIRA SEU TOKEN SEM "" ---&gt;</t>
  </si>
  <si>
    <t>ATIVO (INPUT)</t>
  </si>
  <si>
    <t>EV/EBIT</t>
  </si>
  <si>
    <t>2022-06-30</t>
  </si>
  <si>
    <t>GGBR4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</si>
</sst>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Ubuntu"/>
      <family val="2"/>
    </font>
    <font>
      <sz val="14"/>
      <color theme="1"/>
      <name val="Ubuntu"/>
      <family val="2"/>
    </font>
    <font>
      <sz val="11"/>
      <color theme="0"/>
      <name val="Ubuntu"/>
      <family val="2"/>
    </font>
    <font>
      <sz val="8"/>
      <color theme="2"/>
      <name val="Ubuntu"/>
      <family val="2"/>
    </font>
    <font>
      <sz val="8"/>
      <color theme="1"/>
      <name val="Ubuntu"/>
      <family val="2"/>
    </font>
    <font>
      <sz val="12"/>
      <color theme="1"/>
      <name val="Ubuntu"/>
      <family val="2"/>
    </font>
    <font>
      <sz val="24"/>
      <color theme="1"/>
      <name val="Ubuntu"/>
      <family val="2"/>
    </font>
    <font>
      <sz val="9"/>
      <color theme="1"/>
      <name val="Ubuntu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2" borderId="0" xfId="0" applyFont="1" applyFill="1"/>
    <xf numFmtId="0" fontId="2" fillId="0" borderId="0" xfId="0" applyFont="1"/>
    <xf numFmtId="0" fontId="3" fillId="0" borderId="0" xfId="0" applyFont="1"/>
    <xf numFmtId="44" fontId="4" fillId="0" borderId="0" xfId="0" applyNumberFormat="1" applyFont="1" applyAlignment="1">
      <alignment horizontal="center" vertical="center"/>
    </xf>
    <xf numFmtId="0" fontId="4" fillId="0" borderId="0" xfId="0" applyFont="1"/>
    <xf numFmtId="0" fontId="2" fillId="0" borderId="1" xfId="0" applyFont="1" applyBorder="1" applyProtection="1">
      <protection locked="0"/>
    </xf>
    <xf numFmtId="0" fontId="6" fillId="0" borderId="0" xfId="0" applyFont="1" applyAlignment="1">
      <alignment horizontal="right" vertical="center"/>
    </xf>
    <xf numFmtId="0" fontId="8" fillId="0" borderId="0" xfId="0" applyFont="1"/>
    <xf numFmtId="44" fontId="2" fillId="2" borderId="0" xfId="2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43" fontId="2" fillId="2" borderId="0" xfId="1" applyFont="1" applyFill="1" applyBorder="1" applyProtection="1">
      <protection locked="0"/>
    </xf>
    <xf numFmtId="10" fontId="2" fillId="2" borderId="0" xfId="3" applyNumberFormat="1" applyFont="1" applyFill="1" applyBorder="1" applyProtection="1">
      <protection locked="0"/>
    </xf>
    <xf numFmtId="2" fontId="2" fillId="2" borderId="0" xfId="0" applyNumberFormat="1" applyFont="1" applyFill="1" applyProtection="1">
      <protection locked="0"/>
    </xf>
    <xf numFmtId="165" fontId="2" fillId="2" borderId="0" xfId="3" applyNumberFormat="1" applyFont="1" applyFill="1" applyBorder="1" applyProtection="1">
      <protection locked="0"/>
    </xf>
    <xf numFmtId="164" fontId="9" fillId="0" borderId="0" xfId="1" applyNumberFormat="1" applyFont="1" applyAlignment="1">
      <alignment vertical="center"/>
    </xf>
    <xf numFmtId="0" fontId="2" fillId="0" borderId="0" xfId="0" applyFont="1" applyProtection="1">
      <protection locked="0"/>
    </xf>
    <xf numFmtId="49" fontId="7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0" fontId="4" fillId="0" borderId="0" xfId="0" applyFont="1" applyProtection="1"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164" fontId="4" fillId="0" borderId="0" xfId="1" applyNumberFormat="1" applyFont="1" applyProtection="1">
      <protection locked="0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4">
    <dxf>
      <font>
        <color theme="8"/>
      </font>
    </dxf>
    <dxf>
      <font>
        <color rgb="FFFF0000"/>
      </font>
    </dxf>
    <dxf>
      <font>
        <color rgb="FF00B050"/>
      </font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803149606299212E-2"/>
          <c:y val="0.1300462962962963"/>
          <c:w val="0.84562007874015743"/>
          <c:h val="0.60605310433602377"/>
        </c:manualLayout>
      </c:layout>
      <c:lineChart>
        <c:grouping val="standard"/>
        <c:varyColors val="0"/>
        <c:ser>
          <c:idx val="0"/>
          <c:order val="0"/>
          <c:tx>
            <c:strRef>
              <c:f>Planilha2!$N$4</c:f>
              <c:strCache>
                <c:ptCount val="1"/>
                <c:pt idx="0">
                  <c:v>SCORE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Planilha2!$J$9:$J$43</c:f>
              <c:strCache>
                <c:ptCount val="35"/>
                <c:pt idx="0">
                  <c:v>2013-03-31</c:v>
                </c:pt>
                <c:pt idx="1">
                  <c:v>2013-06-30</c:v>
                </c:pt>
                <c:pt idx="2">
                  <c:v>2013-09-30</c:v>
                </c:pt>
                <c:pt idx="3">
                  <c:v>2013-12-31</c:v>
                </c:pt>
                <c:pt idx="4">
                  <c:v>2014-03-31</c:v>
                </c:pt>
                <c:pt idx="5">
                  <c:v>2014-06-30</c:v>
                </c:pt>
                <c:pt idx="6">
                  <c:v>2014-09-30</c:v>
                </c:pt>
                <c:pt idx="7">
                  <c:v>2014-12-31</c:v>
                </c:pt>
                <c:pt idx="8">
                  <c:v>2015-03-31</c:v>
                </c:pt>
                <c:pt idx="9">
                  <c:v>2015-06-30</c:v>
                </c:pt>
                <c:pt idx="10">
                  <c:v>2015-09-30</c:v>
                </c:pt>
                <c:pt idx="11">
                  <c:v>2015-12-31</c:v>
                </c:pt>
                <c:pt idx="12">
                  <c:v>2016-03-31</c:v>
                </c:pt>
                <c:pt idx="13">
                  <c:v>2016-06-30</c:v>
                </c:pt>
                <c:pt idx="14">
                  <c:v>2016-09-30</c:v>
                </c:pt>
                <c:pt idx="15">
                  <c:v>2016-12-31</c:v>
                </c:pt>
                <c:pt idx="16">
                  <c:v>2017-03-31</c:v>
                </c:pt>
                <c:pt idx="17">
                  <c:v>2017-06-30</c:v>
                </c:pt>
                <c:pt idx="18">
                  <c:v>2017-09-30</c:v>
                </c:pt>
                <c:pt idx="19">
                  <c:v>2017-12-31</c:v>
                </c:pt>
                <c:pt idx="20">
                  <c:v>2018-03-31</c:v>
                </c:pt>
                <c:pt idx="21">
                  <c:v>2018-06-30</c:v>
                </c:pt>
                <c:pt idx="22">
                  <c:v>2018-09-30</c:v>
                </c:pt>
                <c:pt idx="23">
                  <c:v>2018-12-31</c:v>
                </c:pt>
                <c:pt idx="24">
                  <c:v>2019-03-31</c:v>
                </c:pt>
                <c:pt idx="25">
                  <c:v>2019-06-30</c:v>
                </c:pt>
                <c:pt idx="26">
                  <c:v>2019-09-30</c:v>
                </c:pt>
                <c:pt idx="27">
                  <c:v>2019-12-31</c:v>
                </c:pt>
                <c:pt idx="28">
                  <c:v>2020-03-31</c:v>
                </c:pt>
                <c:pt idx="29">
                  <c:v>2020-06-30</c:v>
                </c:pt>
                <c:pt idx="30">
                  <c:v>2020-09-30</c:v>
                </c:pt>
                <c:pt idx="31">
                  <c:v>2020-12-31</c:v>
                </c:pt>
                <c:pt idx="32">
                  <c:v>2021-03-31</c:v>
                </c:pt>
                <c:pt idx="33">
                  <c:v>2021-06-30</c:v>
                </c:pt>
                <c:pt idx="34">
                  <c:v>2021-09-30</c:v>
                </c:pt>
              </c:strCache>
            </c:strRef>
          </c:cat>
          <c:val>
            <c:numRef>
              <c:f>Planilha2!$N$9:$N$43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A0C-AD13-83852F4E2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19050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99081008"/>
        <c:axId val="1399083504"/>
      </c:lineChart>
      <c:catAx>
        <c:axId val="13990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3504"/>
        <c:crosses val="autoZero"/>
        <c:auto val="1"/>
        <c:lblAlgn val="ctr"/>
        <c:lblOffset val="100"/>
        <c:noMultiLvlLbl val="0"/>
      </c:catAx>
      <c:valAx>
        <c:axId val="1399083504"/>
        <c:scaling>
          <c:orientation val="minMax"/>
          <c:max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1008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803149606299212E-2"/>
          <c:y val="0.1300462962962963"/>
          <c:w val="0.84562007874015743"/>
          <c:h val="0.60605310433602377"/>
        </c:manualLayout>
      </c:layout>
      <c:lineChart>
        <c:grouping val="standard"/>
        <c:varyColors val="0"/>
        <c:ser>
          <c:idx val="0"/>
          <c:order val="0"/>
          <c:tx>
            <c:strRef>
              <c:f>Planilha2!$P$4</c:f>
              <c:strCache>
                <c:ptCount val="1"/>
                <c:pt idx="0">
                  <c:v>Q1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Planilha2!$P$5:$P$14</c:f>
              <c:numCache>
                <c:formatCode>_-* #,##0_-;\-* #,##0_-;_-* "-"??_-;_-@_-</c:formatCode>
                <c:ptCount val="10"/>
                <c:pt idx="0">
                  <c:v>9199442</c:v>
                </c:pt>
                <c:pt idx="1">
                  <c:v>9165558</c:v>
                </c:pt>
                <c:pt idx="2">
                  <c:v>10553776</c:v>
                </c:pt>
                <c:pt idx="3">
                  <c:v>10447376</c:v>
                </c:pt>
                <c:pt idx="4">
                  <c:v>10084511</c:v>
                </c:pt>
                <c:pt idx="5">
                  <c:v>8458664</c:v>
                </c:pt>
                <c:pt idx="6">
                  <c:v>10388800</c:v>
                </c:pt>
                <c:pt idx="7">
                  <c:v>10025661</c:v>
                </c:pt>
                <c:pt idx="8">
                  <c:v>9227541</c:v>
                </c:pt>
                <c:pt idx="9">
                  <c:v>16342984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57-4863-AAE6-C4755DFD5E64}"/>
            </c:ext>
          </c:extLst>
        </c:ser>
        <c:ser>
          <c:idx val="1"/>
          <c:order val="1"/>
          <c:tx>
            <c:strRef>
              <c:f>Planilha2!$S$4</c:f>
              <c:strCache>
                <c:ptCount val="1"/>
                <c:pt idx="0">
                  <c:v>Q2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Planilha2!$S$5:$S$14</c:f>
              <c:numCache>
                <c:formatCode>_-* #,##0_-;\-* #,##0_-;_-* "-"??_-;_-@_-</c:formatCode>
                <c:ptCount val="10"/>
                <c:pt idx="0">
                  <c:v>19174872</c:v>
                </c:pt>
                <c:pt idx="1">
                  <c:v>19048015</c:v>
                </c:pt>
                <c:pt idx="2">
                  <c:v>20996598</c:v>
                </c:pt>
                <c:pt idx="3">
                  <c:v>21206767</c:v>
                </c:pt>
                <c:pt idx="4">
                  <c:v>20333289</c:v>
                </c:pt>
                <c:pt idx="5">
                  <c:v>17624517</c:v>
                </c:pt>
                <c:pt idx="6">
                  <c:v>22424155</c:v>
                </c:pt>
                <c:pt idx="7">
                  <c:v>20179714</c:v>
                </c:pt>
                <c:pt idx="8">
                  <c:v>17972374</c:v>
                </c:pt>
                <c:pt idx="9">
                  <c:v>35473100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B-4358-8951-E664B8722E24}"/>
            </c:ext>
          </c:extLst>
        </c:ser>
        <c:ser>
          <c:idx val="2"/>
          <c:order val="2"/>
          <c:tx>
            <c:strRef>
              <c:f>Planilha2!$V$4</c:f>
              <c:strCache>
                <c:ptCount val="1"/>
                <c:pt idx="0">
                  <c:v>Q3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Planilha2!$V$5:$V$14</c:f>
              <c:numCache>
                <c:formatCode>_-* #,##0_-;\-* #,##0_-;_-* "-"??_-;_-@_-</c:formatCode>
                <c:ptCount val="10"/>
                <c:pt idx="0">
                  <c:v>28993964</c:v>
                </c:pt>
                <c:pt idx="1">
                  <c:v>29542040</c:v>
                </c:pt>
                <c:pt idx="2">
                  <c:v>31702543</c:v>
                </c:pt>
                <c:pt idx="3">
                  <c:v>33132112</c:v>
                </c:pt>
                <c:pt idx="4">
                  <c:v>29032038</c:v>
                </c:pt>
                <c:pt idx="5">
                  <c:v>27100721</c:v>
                </c:pt>
                <c:pt idx="6">
                  <c:v>35259776</c:v>
                </c:pt>
                <c:pt idx="7">
                  <c:v>30110543</c:v>
                </c:pt>
                <c:pt idx="8">
                  <c:v>30194482</c:v>
                </c:pt>
                <c:pt idx="9">
                  <c:v>56790157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B-4358-8951-E664B8722E24}"/>
            </c:ext>
          </c:extLst>
        </c:ser>
        <c:ser>
          <c:idx val="3"/>
          <c:order val="3"/>
          <c:tx>
            <c:strRef>
              <c:f>Planilha2!$Y$4</c:f>
              <c:strCache>
                <c:ptCount val="1"/>
                <c:pt idx="0">
                  <c:v>Q4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Planilha2!$Y$5:$Y$13</c:f>
              <c:numCache>
                <c:formatCode>_-* #,##0_-;\-* #,##0_-;_-* "-"??_-;_-@_-</c:formatCode>
                <c:ptCount val="9"/>
                <c:pt idx="0">
                  <c:v>37981668</c:v>
                </c:pt>
                <c:pt idx="1">
                  <c:v>39863037</c:v>
                </c:pt>
                <c:pt idx="2">
                  <c:v>42546339</c:v>
                </c:pt>
                <c:pt idx="3">
                  <c:v>43581241</c:v>
                </c:pt>
                <c:pt idx="4">
                  <c:v>37651667</c:v>
                </c:pt>
                <c:pt idx="5">
                  <c:v>36917619</c:v>
                </c:pt>
                <c:pt idx="6">
                  <c:v>46159478</c:v>
                </c:pt>
                <c:pt idx="7">
                  <c:v>39644010</c:v>
                </c:pt>
                <c:pt idx="8">
                  <c:v>43814661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B-4358-8951-E664B872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99081008"/>
        <c:axId val="1399083504"/>
      </c:lineChart>
      <c:catAx>
        <c:axId val="13990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3504"/>
        <c:crosses val="autoZero"/>
        <c:auto val="1"/>
        <c:lblAlgn val="ctr"/>
        <c:lblOffset val="100"/>
        <c:noMultiLvlLbl val="0"/>
      </c:catAx>
      <c:valAx>
        <c:axId val="1399083504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1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EBIT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803149606299212E-2"/>
          <c:y val="0.1300462962962963"/>
          <c:w val="0.84562007874015743"/>
          <c:h val="0.60605310433602377"/>
        </c:manualLayout>
      </c:layout>
      <c:lineChart>
        <c:grouping val="standard"/>
        <c:varyColors val="0"/>
        <c:ser>
          <c:idx val="0"/>
          <c:order val="0"/>
          <c:tx>
            <c:strRef>
              <c:f>Planilha2!$P$4</c:f>
              <c:strCache>
                <c:ptCount val="1"/>
                <c:pt idx="0">
                  <c:v>Q1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Planilha2!$Q$5:$Q$14</c:f>
              <c:numCache>
                <c:formatCode>_-* #,##0_-;\-* #,##0_-;_-* "-"??_-;_-@_-</c:formatCode>
                <c:ptCount val="10"/>
                <c:pt idx="0">
                  <c:v>570249</c:v>
                </c:pt>
                <c:pt idx="1">
                  <c:v>341037</c:v>
                </c:pt>
                <c:pt idx="2">
                  <c:v>654182</c:v>
                </c:pt>
                <c:pt idx="3">
                  <c:v>485240</c:v>
                </c:pt>
                <c:pt idx="4">
                  <c:v>201026</c:v>
                </c:pt>
                <c:pt idx="5">
                  <c:v>1206805</c:v>
                </c:pt>
                <c:pt idx="6">
                  <c:v>963521</c:v>
                </c:pt>
                <c:pt idx="7">
                  <c:v>990003</c:v>
                </c:pt>
                <c:pt idx="8">
                  <c:v>473409</c:v>
                </c:pt>
                <c:pt idx="9">
                  <c:v>3557887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F-46D5-B6E4-F9CFC49C53E7}"/>
            </c:ext>
          </c:extLst>
        </c:ser>
        <c:ser>
          <c:idx val="1"/>
          <c:order val="1"/>
          <c:tx>
            <c:strRef>
              <c:f>Planilha2!$S$4</c:f>
              <c:strCache>
                <c:ptCount val="1"/>
                <c:pt idx="0">
                  <c:v>Q2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Planilha2!$T$5:$T$14</c:f>
              <c:numCache>
                <c:formatCode>_-* #,##0_-;\-* #,##0_-;_-* "-"??_-;_-@_-</c:formatCode>
                <c:ptCount val="10"/>
                <c:pt idx="0">
                  <c:v>1355000</c:v>
                </c:pt>
                <c:pt idx="1">
                  <c:v>1060506</c:v>
                </c:pt>
                <c:pt idx="2">
                  <c:v>1283747</c:v>
                </c:pt>
                <c:pt idx="3">
                  <c:v>1043191</c:v>
                </c:pt>
                <c:pt idx="4">
                  <c:v>629913</c:v>
                </c:pt>
                <c:pt idx="5">
                  <c:v>1686895</c:v>
                </c:pt>
                <c:pt idx="6">
                  <c:v>2143693</c:v>
                </c:pt>
                <c:pt idx="7">
                  <c:v>1915140</c:v>
                </c:pt>
                <c:pt idx="8">
                  <c:v>1249195</c:v>
                </c:pt>
                <c:pt idx="9">
                  <c:v>9120581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9F-46D5-B6E4-F9CFC49C53E7}"/>
            </c:ext>
          </c:extLst>
        </c:ser>
        <c:ser>
          <c:idx val="2"/>
          <c:order val="2"/>
          <c:tx>
            <c:strRef>
              <c:f>Planilha2!$V$4</c:f>
              <c:strCache>
                <c:ptCount val="1"/>
                <c:pt idx="0">
                  <c:v>Q3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Planilha2!$W$5:$W$14</c:f>
              <c:numCache>
                <c:formatCode>_-* #,##0_-;\-* #,##0_-;_-* "-"??_-;_-@_-</c:formatCode>
                <c:ptCount val="10"/>
                <c:pt idx="0">
                  <c:v>1922754</c:v>
                </c:pt>
                <c:pt idx="1">
                  <c:v>1946150</c:v>
                </c:pt>
                <c:pt idx="2">
                  <c:v>1952555</c:v>
                </c:pt>
                <c:pt idx="3">
                  <c:v>-230586</c:v>
                </c:pt>
                <c:pt idx="4">
                  <c:v>1223280</c:v>
                </c:pt>
                <c:pt idx="5">
                  <c:v>2267295</c:v>
                </c:pt>
                <c:pt idx="6">
                  <c:v>3415147</c:v>
                </c:pt>
                <c:pt idx="7">
                  <c:v>2616604</c:v>
                </c:pt>
                <c:pt idx="8">
                  <c:v>2628937</c:v>
                </c:pt>
                <c:pt idx="9">
                  <c:v>16509346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9F-46D5-B6E4-F9CFC49C53E7}"/>
            </c:ext>
          </c:extLst>
        </c:ser>
        <c:ser>
          <c:idx val="3"/>
          <c:order val="3"/>
          <c:tx>
            <c:strRef>
              <c:f>Planilha2!$Y$4</c:f>
              <c:strCache>
                <c:ptCount val="1"/>
                <c:pt idx="0">
                  <c:v>Q4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Planilha2!$Z$5:$Z$13</c:f>
              <c:numCache>
                <c:formatCode>_-* #,##0_-;\-* #,##0_-;_-* "-"??_-;_-@_-</c:formatCode>
                <c:ptCount val="9"/>
                <c:pt idx="0">
                  <c:v>2348205</c:v>
                </c:pt>
                <c:pt idx="1">
                  <c:v>2754423</c:v>
                </c:pt>
                <c:pt idx="2">
                  <c:v>2898986</c:v>
                </c:pt>
                <c:pt idx="3">
                  <c:v>-3215512</c:v>
                </c:pt>
                <c:pt idx="4">
                  <c:v>-1636360</c:v>
                </c:pt>
                <c:pt idx="5">
                  <c:v>1100072</c:v>
                </c:pt>
                <c:pt idx="6">
                  <c:v>4047226</c:v>
                </c:pt>
                <c:pt idx="7">
                  <c:v>3183934</c:v>
                </c:pt>
                <c:pt idx="8">
                  <c:v>5194385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9F-46D5-B6E4-F9CFC49C5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99081008"/>
        <c:axId val="1399083504"/>
      </c:lineChart>
      <c:catAx>
        <c:axId val="13990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3504"/>
        <c:crosses val="autoZero"/>
        <c:auto val="1"/>
        <c:lblAlgn val="ctr"/>
        <c:lblOffset val="100"/>
        <c:noMultiLvlLbl val="0"/>
      </c:catAx>
      <c:valAx>
        <c:axId val="1399083504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1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GER_CAIXA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803149606299212E-2"/>
          <c:y val="0.1300462962962963"/>
          <c:w val="0.84562007874015743"/>
          <c:h val="0.60605310433602377"/>
        </c:manualLayout>
      </c:layout>
      <c:lineChart>
        <c:grouping val="standard"/>
        <c:varyColors val="0"/>
        <c:ser>
          <c:idx val="0"/>
          <c:order val="0"/>
          <c:tx>
            <c:strRef>
              <c:f>Planilha2!$P$4</c:f>
              <c:strCache>
                <c:ptCount val="1"/>
                <c:pt idx="0">
                  <c:v>Q1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Planilha2!$R$5:$R$14</c:f>
              <c:numCache>
                <c:formatCode>_-* #,##0_-;\-* #,##0_-;_-* "-"??_-;_-@_-</c:formatCode>
                <c:ptCount val="10"/>
                <c:pt idx="0">
                  <c:v>-117852</c:v>
                </c:pt>
                <c:pt idx="1">
                  <c:v>-377819</c:v>
                </c:pt>
                <c:pt idx="2">
                  <c:v>-228325</c:v>
                </c:pt>
                <c:pt idx="3">
                  <c:v>546193</c:v>
                </c:pt>
                <c:pt idx="4">
                  <c:v>-918055</c:v>
                </c:pt>
                <c:pt idx="5">
                  <c:v>-587260</c:v>
                </c:pt>
                <c:pt idx="6">
                  <c:v>-179891</c:v>
                </c:pt>
                <c:pt idx="7">
                  <c:v>-948380</c:v>
                </c:pt>
                <c:pt idx="8">
                  <c:v>1174202</c:v>
                </c:pt>
                <c:pt idx="9">
                  <c:v>-375332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E5-453B-A270-BD59C01CDD15}"/>
            </c:ext>
          </c:extLst>
        </c:ser>
        <c:ser>
          <c:idx val="1"/>
          <c:order val="1"/>
          <c:tx>
            <c:strRef>
              <c:f>Planilha2!$S$4</c:f>
              <c:strCache>
                <c:ptCount val="1"/>
                <c:pt idx="0">
                  <c:v>Q2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Planilha2!$U$5:$U$14</c:f>
              <c:numCache>
                <c:formatCode>_-* #,##0_-;\-* #,##0_-;_-* "-"??_-;_-@_-</c:formatCode>
                <c:ptCount val="10"/>
                <c:pt idx="0">
                  <c:v>187472</c:v>
                </c:pt>
                <c:pt idx="1">
                  <c:v>-198042</c:v>
                </c:pt>
                <c:pt idx="2">
                  <c:v>528837</c:v>
                </c:pt>
                <c:pt idx="3">
                  <c:v>740549</c:v>
                </c:pt>
                <c:pt idx="4">
                  <c:v>-1838656</c:v>
                </c:pt>
                <c:pt idx="5">
                  <c:v>-757949</c:v>
                </c:pt>
                <c:pt idx="6">
                  <c:v>82353</c:v>
                </c:pt>
                <c:pt idx="7">
                  <c:v>-1139287</c:v>
                </c:pt>
                <c:pt idx="8">
                  <c:v>1422009</c:v>
                </c:pt>
                <c:pt idx="9">
                  <c:v>-1590976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E5-453B-A270-BD59C01CDD15}"/>
            </c:ext>
          </c:extLst>
        </c:ser>
        <c:ser>
          <c:idx val="2"/>
          <c:order val="2"/>
          <c:tx>
            <c:strRef>
              <c:f>Planilha2!$V$4</c:f>
              <c:strCache>
                <c:ptCount val="1"/>
                <c:pt idx="0">
                  <c:v>Q3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Planilha2!$X$5:$X$14</c:f>
              <c:numCache>
                <c:formatCode>_-* #,##0_-;\-* #,##0_-;_-* "-"??_-;_-@_-</c:formatCode>
                <c:ptCount val="10"/>
                <c:pt idx="0">
                  <c:v>188962</c:v>
                </c:pt>
                <c:pt idx="1">
                  <c:v>528216</c:v>
                </c:pt>
                <c:pt idx="2">
                  <c:v>772871</c:v>
                </c:pt>
                <c:pt idx="3">
                  <c:v>2140557</c:v>
                </c:pt>
                <c:pt idx="4">
                  <c:v>-1699455</c:v>
                </c:pt>
                <c:pt idx="5">
                  <c:v>-1800389</c:v>
                </c:pt>
                <c:pt idx="6">
                  <c:v>239858</c:v>
                </c:pt>
                <c:pt idx="7">
                  <c:v>-598728</c:v>
                </c:pt>
                <c:pt idx="8">
                  <c:v>1529476</c:v>
                </c:pt>
                <c:pt idx="9">
                  <c:v>-641127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5-453B-A270-BD59C01CDD15}"/>
            </c:ext>
          </c:extLst>
        </c:ser>
        <c:ser>
          <c:idx val="3"/>
          <c:order val="3"/>
          <c:tx>
            <c:strRef>
              <c:f>Planilha2!$Y$4</c:f>
              <c:strCache>
                <c:ptCount val="1"/>
                <c:pt idx="0">
                  <c:v>Q4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Planilha2!$AA$5:$AA$13</c:f>
              <c:numCache>
                <c:formatCode>_-* #,##0_-;\-* #,##0_-;_-* "-"??_-;_-@_-</c:formatCode>
                <c:ptCount val="9"/>
                <c:pt idx="0">
                  <c:v>-39364</c:v>
                </c:pt>
                <c:pt idx="1">
                  <c:v>661989</c:v>
                </c:pt>
                <c:pt idx="2">
                  <c:v>950747</c:v>
                </c:pt>
                <c:pt idx="3">
                  <c:v>2598109</c:v>
                </c:pt>
                <c:pt idx="4">
                  <c:v>-584697</c:v>
                </c:pt>
                <c:pt idx="5">
                  <c:v>-2508045</c:v>
                </c:pt>
                <c:pt idx="6">
                  <c:v>334806</c:v>
                </c:pt>
                <c:pt idx="7">
                  <c:v>-248492</c:v>
                </c:pt>
                <c:pt idx="8">
                  <c:v>1975552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E5-453B-A270-BD59C01C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99081008"/>
        <c:axId val="1399083504"/>
      </c:lineChart>
      <c:catAx>
        <c:axId val="13990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3504"/>
        <c:crosses val="autoZero"/>
        <c:auto val="1"/>
        <c:lblAlgn val="ctr"/>
        <c:lblOffset val="100"/>
        <c:noMultiLvlLbl val="0"/>
      </c:catAx>
      <c:valAx>
        <c:axId val="1399083504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1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BALANÇO PATRIMONIAL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000" b="1">
              <a:latin typeface="Ubuntu" panose="020B0504030602030204" pitchFamily="34" charset="0"/>
              <a:ea typeface="Ubuntu" panose="020B0504030602030204" pitchFamily="34" charset="0"/>
              <a:cs typeface="Ubuntu" panose="020B0504030602030204" pitchFamily="34" charset="0"/>
            </a:defRPr>
          </a:pPr>
          <a:r>
            <a:rPr lang="pt-B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Ubuntu" panose="020B0504030602030204" pitchFamily="34" charset="0"/>
            </a:rPr>
            <a:t>BALANÇO PATRIMONIAL</a:t>
          </a:r>
        </a:p>
      </cx:txPr>
    </cx:title>
    <cx:plotArea>
      <cx:plotAreaRegion>
        <cx:series layoutId="treemap" uniqueId="{9594CDA5-910A-486A-84AE-3189F96A059C}"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>
                    <a:latin typeface="Ubuntu" panose="020B0504030602030204" pitchFamily="34" charset="0"/>
                    <a:ea typeface="Ubuntu" panose="020B0504030602030204" pitchFamily="34" charset="0"/>
                    <a:cs typeface="Ubuntu" panose="020B0504030602030204" pitchFamily="34" charset="0"/>
                  </a:defRPr>
                </a:pPr>
                <a:endParaRPr lang="pt-BR" sz="1800" b="0" i="0" u="none" strike="noStrike" baseline="0">
                  <a:solidFill>
                    <a:sysClr val="window" lastClr="FFFFFF"/>
                  </a:solidFill>
                  <a:latin typeface="Ubuntu" panose="020B0504030602030204" pitchFamily="34" charset="0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277092</xdr:rowOff>
    </xdr:from>
    <xdr:to>
      <xdr:col>3</xdr:col>
      <xdr:colOff>1428750</xdr:colOff>
      <xdr:row>2</xdr:row>
      <xdr:rowOff>34637</xdr:rowOff>
    </xdr:to>
    <xdr:sp macro="[0]!Get_Sto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12762D5-6309-4DF1-AF52-EE255892032E}"/>
            </a:ext>
          </a:extLst>
        </xdr:cNvPr>
        <xdr:cNvSpPr/>
      </xdr:nvSpPr>
      <xdr:spPr>
        <a:xfrm>
          <a:off x="3518189" y="277092"/>
          <a:ext cx="1400175" cy="259772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BUSCAR</a:t>
          </a:r>
        </a:p>
      </xdr:txBody>
    </xdr:sp>
    <xdr:clientData/>
  </xdr:twoCellAnchor>
  <xdr:twoCellAnchor>
    <xdr:from>
      <xdr:col>0</xdr:col>
      <xdr:colOff>545523</xdr:colOff>
      <xdr:row>14</xdr:row>
      <xdr:rowOff>109679</xdr:rowOff>
    </xdr:from>
    <xdr:to>
      <xdr:col>4</xdr:col>
      <xdr:colOff>38966</xdr:colOff>
      <xdr:row>34</xdr:row>
      <xdr:rowOff>95249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E26F4F13-A100-48FD-99B3-97BB052775E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5523" y="3081479"/>
              <a:ext cx="4446443" cy="41956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5</xdr:col>
      <xdr:colOff>175779</xdr:colOff>
      <xdr:row>20</xdr:row>
      <xdr:rowOff>164524</xdr:rowOff>
    </xdr:from>
    <xdr:to>
      <xdr:col>8</xdr:col>
      <xdr:colOff>355023</xdr:colOff>
      <xdr:row>34</xdr:row>
      <xdr:rowOff>181840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DDCCC1-3BB7-4D23-9A6E-5A80DD3166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862662</xdr:colOff>
      <xdr:row>2</xdr:row>
      <xdr:rowOff>49789</xdr:rowOff>
    </xdr:from>
    <xdr:to>
      <xdr:col>14</xdr:col>
      <xdr:colOff>447675</xdr:colOff>
      <xdr:row>16</xdr:row>
      <xdr:rowOff>83341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62F79E6-359C-4EFB-961B-35837D9BD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909205</xdr:colOff>
      <xdr:row>12</xdr:row>
      <xdr:rowOff>175345</xdr:rowOff>
    </xdr:from>
    <xdr:to>
      <xdr:col>14</xdr:col>
      <xdr:colOff>490971</xdr:colOff>
      <xdr:row>26</xdr:row>
      <xdr:rowOff>104988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EBF9BBD-D663-4578-AADD-3D268626E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1083</xdr:colOff>
      <xdr:row>23</xdr:row>
      <xdr:rowOff>29226</xdr:rowOff>
    </xdr:from>
    <xdr:to>
      <xdr:col>14</xdr:col>
      <xdr:colOff>526690</xdr:colOff>
      <xdr:row>37</xdr:row>
      <xdr:rowOff>190499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CCB5CF4A-F61B-4DE0-877F-7AF5EF5ED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1203614</xdr:colOff>
      <xdr:row>0</xdr:row>
      <xdr:rowOff>99498</xdr:rowOff>
    </xdr:from>
    <xdr:to>
      <xdr:col>7</xdr:col>
      <xdr:colOff>1498024</xdr:colOff>
      <xdr:row>2</xdr:row>
      <xdr:rowOff>105642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21CC850F-2F2B-4007-B148-1DC1E96E3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5705" y="99498"/>
          <a:ext cx="1601933" cy="5083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C334C-C4ED-475E-828A-1F29F41E7AE2}">
  <sheetPr codeName="Planilha2"/>
  <dimension ref="A1:AA44"/>
  <sheetViews>
    <sheetView showGridLines="0" tabSelected="1" zoomScale="110" zoomScaleNormal="110" workbookViewId="0">
      <selection activeCell="P5" sqref="P5"/>
    </sheetView>
  </sheetViews>
  <sheetFormatPr defaultRowHeight="15.75" x14ac:dyDescent="0.25"/>
  <cols>
    <col min="1" max="1" width="9.140625" style="2"/>
    <col min="2" max="2" width="21.42578125" style="2" customWidth="1"/>
    <col min="3" max="4" width="21.85546875" style="2" bestFit="1" customWidth="1"/>
    <col min="5" max="5" width="8.28515625" style="2" customWidth="1"/>
    <col min="6" max="6" width="7.42578125" style="2" customWidth="1"/>
    <col min="7" max="7" width="19.5703125" style="2" bestFit="1" customWidth="1"/>
    <col min="8" max="8" width="33.42578125" style="2" customWidth="1"/>
    <col min="9" max="9" width="14.140625" style="2" customWidth="1"/>
    <col min="10" max="10" width="11.85546875" style="5" bestFit="1" customWidth="1"/>
    <col min="11" max="12" width="11.42578125" style="5" bestFit="1" customWidth="1"/>
    <col min="13" max="13" width="11.140625" style="5" bestFit="1" customWidth="1"/>
    <col min="14" max="14" width="9.42578125" style="5" bestFit="1" customWidth="1"/>
    <col min="15" max="15" width="9.140625" style="5"/>
    <col min="16" max="16" width="16.140625" style="5" bestFit="1" customWidth="1"/>
    <col min="17" max="17" width="16" style="5" customWidth="1"/>
    <col min="18" max="18" width="12.85546875" style="5" bestFit="1" customWidth="1"/>
    <col min="19" max="19" width="16.140625" style="5" bestFit="1" customWidth="1"/>
    <col min="20" max="20" width="16" style="5" customWidth="1"/>
    <col min="21" max="21" width="12.85546875" style="5" bestFit="1" customWidth="1"/>
    <col min="22" max="22" width="17.42578125" style="5" bestFit="1" customWidth="1"/>
    <col min="23" max="23" width="17.28515625" style="5" customWidth="1"/>
    <col min="24" max="24" width="10.85546875" style="5" customWidth="1"/>
    <col min="25" max="25" width="17.42578125" style="5" bestFit="1" customWidth="1"/>
    <col min="26" max="27" width="12.85546875" style="5" bestFit="1" customWidth="1"/>
    <col min="28" max="16384" width="9.140625" style="2"/>
  </cols>
  <sheetData>
    <row r="1" spans="1:27" ht="24" customHeight="1" x14ac:dyDescent="0.25">
      <c r="B1" s="7" t="s">
        <v>67</v>
      </c>
      <c r="C1" s="18"/>
    </row>
    <row r="2" spans="1:27" x14ac:dyDescent="0.25">
      <c r="B2" s="1" t="s">
        <v>68</v>
      </c>
      <c r="C2" s="6" t="s">
        <v>71</v>
      </c>
    </row>
    <row r="4" spans="1:27" s="16" customFormat="1" ht="19.5" x14ac:dyDescent="0.3">
      <c r="A4" s="2"/>
      <c r="B4" s="3" t="s">
        <v>64</v>
      </c>
      <c r="C4" s="2"/>
      <c r="D4" s="2"/>
      <c r="E4" s="2"/>
      <c r="F4" s="2"/>
      <c r="G4" s="3" t="s">
        <v>65</v>
      </c>
      <c r="H4" s="2"/>
      <c r="I4" s="2"/>
      <c r="J4" s="19" t="s">
        <v>59</v>
      </c>
      <c r="K4" s="19" t="s">
        <v>1</v>
      </c>
      <c r="L4" s="19" t="s">
        <v>0</v>
      </c>
      <c r="M4" s="19" t="s">
        <v>2</v>
      </c>
      <c r="N4" s="19" t="s">
        <v>58</v>
      </c>
      <c r="O4" s="19"/>
      <c r="P4" s="19" t="s">
        <v>60</v>
      </c>
      <c r="Q4" s="19"/>
      <c r="R4" s="19"/>
      <c r="S4" s="19" t="s">
        <v>61</v>
      </c>
      <c r="T4" s="19"/>
      <c r="U4" s="19"/>
      <c r="V4" s="19" t="s">
        <v>62</v>
      </c>
      <c r="W4" s="19"/>
      <c r="X4" s="19"/>
      <c r="Y4" s="19" t="s">
        <v>63</v>
      </c>
      <c r="Z4" s="19"/>
      <c r="AA4" s="19"/>
    </row>
    <row r="5" spans="1:27" s="16" customFormat="1" ht="16.5" x14ac:dyDescent="0.25">
      <c r="A5" s="2"/>
      <c r="C5" s="17" t="s">
        <v>56</v>
      </c>
      <c r="D5" s="17" t="s">
        <v>70</v>
      </c>
      <c r="E5" s="2"/>
      <c r="F5" s="2"/>
      <c r="G5" s="16" t="s">
        <v>3</v>
      </c>
      <c r="H5" s="11">
        <v>30.62</v>
      </c>
      <c r="I5" s="2"/>
      <c r="J5" s="20" t="s">
        <v>20</v>
      </c>
      <c r="K5" s="19">
        <v>9199442</v>
      </c>
      <c r="L5" s="19">
        <v>570249</v>
      </c>
      <c r="M5" s="19">
        <v>-117852</v>
      </c>
      <c r="N5" s="19">
        <v>0</v>
      </c>
      <c r="O5" s="19"/>
      <c r="P5" s="21">
        <f>K5</f>
        <v>9199442</v>
      </c>
      <c r="Q5" s="21">
        <f t="shared" ref="Q5:R5" si="0">L5</f>
        <v>570249</v>
      </c>
      <c r="R5" s="21">
        <f t="shared" si="0"/>
        <v>-117852</v>
      </c>
      <c r="S5" s="21">
        <f>K6</f>
        <v>19174872</v>
      </c>
      <c r="T5" s="21">
        <f t="shared" ref="T5:U5" si="1">L6</f>
        <v>1355000</v>
      </c>
      <c r="U5" s="21">
        <f t="shared" si="1"/>
        <v>187472</v>
      </c>
      <c r="V5" s="21">
        <f>K7</f>
        <v>28993964</v>
      </c>
      <c r="W5" s="21">
        <f t="shared" ref="W5:X5" si="2">L7</f>
        <v>1922754</v>
      </c>
      <c r="X5" s="21">
        <f t="shared" si="2"/>
        <v>188962</v>
      </c>
      <c r="Y5" s="21">
        <f>K8</f>
        <v>37981668</v>
      </c>
      <c r="Z5" s="21">
        <f t="shared" ref="Z5:AA5" si="3">L8</f>
        <v>2348205</v>
      </c>
      <c r="AA5" s="21">
        <f t="shared" si="3"/>
        <v>-39364</v>
      </c>
    </row>
    <row r="6" spans="1:27" s="16" customFormat="1" x14ac:dyDescent="0.25">
      <c r="A6" s="2"/>
      <c r="B6" s="16" t="s">
        <v>1</v>
      </c>
      <c r="C6" s="9">
        <v>35473100</v>
      </c>
      <c r="D6" s="9">
        <v>43298933</v>
      </c>
      <c r="E6" s="4">
        <f>IF(D6&gt;C6,1,-1)</f>
        <v>1</v>
      </c>
      <c r="F6" s="2"/>
      <c r="G6" s="16" t="s">
        <v>4</v>
      </c>
      <c r="H6" s="11">
        <v>31.28</v>
      </c>
      <c r="I6" s="2"/>
      <c r="J6" s="20" t="s">
        <v>21</v>
      </c>
      <c r="K6" s="19">
        <v>19174872</v>
      </c>
      <c r="L6" s="19">
        <v>1355000</v>
      </c>
      <c r="M6" s="19">
        <v>187472</v>
      </c>
      <c r="N6" s="19">
        <v>0</v>
      </c>
      <c r="O6" s="19"/>
      <c r="P6" s="21">
        <f>K9</f>
        <v>9165558</v>
      </c>
      <c r="Q6" s="21">
        <f t="shared" ref="Q6:R6" si="4">L9</f>
        <v>341037</v>
      </c>
      <c r="R6" s="21">
        <f t="shared" si="4"/>
        <v>-377819</v>
      </c>
      <c r="S6" s="21">
        <f>K10</f>
        <v>19048015</v>
      </c>
      <c r="T6" s="21">
        <f t="shared" ref="T6:U6" si="5">L10</f>
        <v>1060506</v>
      </c>
      <c r="U6" s="21">
        <f t="shared" si="5"/>
        <v>-198042</v>
      </c>
      <c r="V6" s="21">
        <f>K11</f>
        <v>29542040</v>
      </c>
      <c r="W6" s="21">
        <f t="shared" ref="W6:X6" si="6">L11</f>
        <v>1946150</v>
      </c>
      <c r="X6" s="21">
        <f t="shared" si="6"/>
        <v>528216</v>
      </c>
      <c r="Y6" s="21">
        <f>K12</f>
        <v>39863037</v>
      </c>
      <c r="Z6" s="21">
        <f t="shared" ref="Z6:AA6" si="7">L12</f>
        <v>2754423</v>
      </c>
      <c r="AA6" s="21">
        <f t="shared" si="7"/>
        <v>661989</v>
      </c>
    </row>
    <row r="7" spans="1:27" s="16" customFormat="1" x14ac:dyDescent="0.25">
      <c r="A7" s="2"/>
      <c r="B7" s="16" t="s">
        <v>0</v>
      </c>
      <c r="C7" s="9">
        <v>9120581</v>
      </c>
      <c r="D7" s="9">
        <v>10804163</v>
      </c>
      <c r="E7" s="4">
        <f t="shared" ref="E7:E8" si="8">IF(D7&gt;C7,1,-1)</f>
        <v>1</v>
      </c>
      <c r="F7" s="2"/>
      <c r="G7" s="16" t="s">
        <v>5</v>
      </c>
      <c r="H7" s="11">
        <v>29.87</v>
      </c>
      <c r="I7" s="2"/>
      <c r="J7" s="20" t="s">
        <v>22</v>
      </c>
      <c r="K7" s="19">
        <v>28993964</v>
      </c>
      <c r="L7" s="19">
        <v>1922754</v>
      </c>
      <c r="M7" s="19">
        <v>188962</v>
      </c>
      <c r="N7" s="19">
        <v>0</v>
      </c>
      <c r="O7" s="19"/>
      <c r="P7" s="21">
        <f>K13</f>
        <v>10553776</v>
      </c>
      <c r="Q7" s="21">
        <f t="shared" ref="Q7:R7" si="9">L13</f>
        <v>654182</v>
      </c>
      <c r="R7" s="21">
        <f t="shared" si="9"/>
        <v>-228325</v>
      </c>
      <c r="S7" s="21">
        <f>K14</f>
        <v>20996598</v>
      </c>
      <c r="T7" s="21">
        <f t="shared" ref="T7:U7" si="10">L14</f>
        <v>1283747</v>
      </c>
      <c r="U7" s="21">
        <f t="shared" si="10"/>
        <v>528837</v>
      </c>
      <c r="V7" s="21">
        <f>K15</f>
        <v>31702543</v>
      </c>
      <c r="W7" s="21">
        <f t="shared" ref="W7:X7" si="11">L15</f>
        <v>1952555</v>
      </c>
      <c r="X7" s="21">
        <f t="shared" si="11"/>
        <v>772871</v>
      </c>
      <c r="Y7" s="21">
        <f>K16</f>
        <v>42546339</v>
      </c>
      <c r="Z7" s="21">
        <f t="shared" ref="Z7:AA7" si="12">L16</f>
        <v>2898986</v>
      </c>
      <c r="AA7" s="21">
        <f t="shared" si="12"/>
        <v>950747</v>
      </c>
    </row>
    <row r="8" spans="1:27" s="16" customFormat="1" x14ac:dyDescent="0.25">
      <c r="A8" s="2"/>
      <c r="B8" s="16" t="s">
        <v>2</v>
      </c>
      <c r="C8" s="9">
        <v>-1590976</v>
      </c>
      <c r="D8" s="9">
        <v>1616099</v>
      </c>
      <c r="E8" s="4">
        <f t="shared" si="8"/>
        <v>1</v>
      </c>
      <c r="F8" s="2"/>
      <c r="G8" s="16" t="s">
        <v>6</v>
      </c>
      <c r="H8" s="11">
        <v>31.08</v>
      </c>
      <c r="I8" s="2"/>
      <c r="J8" s="20" t="s">
        <v>23</v>
      </c>
      <c r="K8" s="19">
        <v>37981668</v>
      </c>
      <c r="L8" s="19">
        <v>2348205</v>
      </c>
      <c r="M8" s="19">
        <v>-39364</v>
      </c>
      <c r="N8" s="19">
        <v>0</v>
      </c>
      <c r="O8" s="19"/>
      <c r="P8" s="21">
        <f>K17</f>
        <v>10447376</v>
      </c>
      <c r="Q8" s="21">
        <f t="shared" ref="Q8:R8" si="13">L17</f>
        <v>485240</v>
      </c>
      <c r="R8" s="21">
        <f t="shared" si="13"/>
        <v>546193</v>
      </c>
      <c r="S8" s="21">
        <f>K18</f>
        <v>21206767</v>
      </c>
      <c r="T8" s="21">
        <f t="shared" ref="T8:U8" si="14">L18</f>
        <v>1043191</v>
      </c>
      <c r="U8" s="21">
        <f t="shared" si="14"/>
        <v>740549</v>
      </c>
      <c r="V8" s="21">
        <f>K19</f>
        <v>33132112</v>
      </c>
      <c r="W8" s="21">
        <f t="shared" ref="W8:X8" si="15">L19</f>
        <v>-230586</v>
      </c>
      <c r="X8" s="21">
        <f t="shared" si="15"/>
        <v>2140557</v>
      </c>
      <c r="Y8" s="21">
        <f>K20</f>
        <v>43581241</v>
      </c>
      <c r="Z8" s="21">
        <f t="shared" ref="Z8:AA8" si="16">L20</f>
        <v>-3215512</v>
      </c>
      <c r="AA8" s="21">
        <f t="shared" si="16"/>
        <v>2598109</v>
      </c>
    </row>
    <row r="9" spans="1:27" s="16" customFormat="1" x14ac:dyDescent="0.25">
      <c r="A9" s="2"/>
      <c r="B9" s="16" t="s">
        <v>7</v>
      </c>
      <c r="C9" s="10"/>
      <c r="D9" s="11">
        <v>1.0557909299103501</v>
      </c>
      <c r="E9" s="4">
        <f>IF(D9&gt;1,1,-1)</f>
        <v>1</v>
      </c>
      <c r="F9" s="2"/>
      <c r="G9" s="16" t="s">
        <v>18</v>
      </c>
      <c r="H9" s="9">
        <v>371207005</v>
      </c>
      <c r="I9" s="2"/>
      <c r="J9" s="20" t="s">
        <v>24</v>
      </c>
      <c r="K9" s="19">
        <v>9165558</v>
      </c>
      <c r="L9" s="19">
        <v>341037</v>
      </c>
      <c r="M9" s="19">
        <v>-377819</v>
      </c>
      <c r="N9" s="19">
        <f>IF(K9&gt;K5,1,0)+IF(L9&gt;L5,1,0)+IF(M9&gt;M5,1,0)</f>
        <v>0</v>
      </c>
      <c r="O9" s="19"/>
      <c r="P9" s="21">
        <f>K21</f>
        <v>10084511</v>
      </c>
      <c r="Q9" s="21">
        <f t="shared" ref="Q9:R9" si="17">L21</f>
        <v>201026</v>
      </c>
      <c r="R9" s="21">
        <f t="shared" si="17"/>
        <v>-918055</v>
      </c>
      <c r="S9" s="21">
        <f>K22</f>
        <v>20333289</v>
      </c>
      <c r="T9" s="21">
        <f t="shared" ref="T9:U9" si="18">L22</f>
        <v>629913</v>
      </c>
      <c r="U9" s="21">
        <f t="shared" si="18"/>
        <v>-1838656</v>
      </c>
      <c r="V9" s="21">
        <f>K23</f>
        <v>29032038</v>
      </c>
      <c r="W9" s="21">
        <f t="shared" ref="W9:X9" si="19">L23</f>
        <v>1223280</v>
      </c>
      <c r="X9" s="21">
        <f t="shared" si="19"/>
        <v>-1699455</v>
      </c>
      <c r="Y9" s="21">
        <f>K24</f>
        <v>37651667</v>
      </c>
      <c r="Z9" s="21">
        <f t="shared" ref="Z9:AA9" si="20">L24</f>
        <v>-1636360</v>
      </c>
      <c r="AA9" s="21">
        <f t="shared" si="20"/>
        <v>-584697</v>
      </c>
    </row>
    <row r="10" spans="1:27" s="16" customFormat="1" ht="12.75" customHeight="1" x14ac:dyDescent="0.25">
      <c r="A10" s="2"/>
      <c r="B10" s="2"/>
      <c r="C10" s="2"/>
      <c r="D10" s="2"/>
      <c r="E10" s="15"/>
      <c r="F10" s="2"/>
      <c r="G10" s="2"/>
      <c r="H10" s="2"/>
      <c r="I10" s="2"/>
      <c r="J10" s="20" t="s">
        <v>25</v>
      </c>
      <c r="K10" s="19">
        <v>19048015</v>
      </c>
      <c r="L10" s="19">
        <v>1060506</v>
      </c>
      <c r="M10" s="19">
        <v>-198042</v>
      </c>
      <c r="N10" s="19">
        <f t="shared" ref="N10:N44" si="21">IF(K10&gt;K6,1,0)+IF(L10&gt;L6,1,0)+IF(M10&gt;M6,1,0)</f>
        <v>0</v>
      </c>
      <c r="O10" s="19"/>
      <c r="P10" s="21">
        <f>K25</f>
        <v>8458664</v>
      </c>
      <c r="Q10" s="21">
        <f t="shared" ref="Q10:R10" si="22">L25</f>
        <v>1206805</v>
      </c>
      <c r="R10" s="21">
        <f t="shared" si="22"/>
        <v>-587260</v>
      </c>
      <c r="S10" s="21">
        <f>K26</f>
        <v>17624517</v>
      </c>
      <c r="T10" s="21">
        <f t="shared" ref="T10:U10" si="23">L26</f>
        <v>1686895</v>
      </c>
      <c r="U10" s="21">
        <f t="shared" si="23"/>
        <v>-757949</v>
      </c>
      <c r="V10" s="21">
        <f>K27</f>
        <v>27100721</v>
      </c>
      <c r="W10" s="21">
        <f t="shared" ref="W10:X10" si="24">L27</f>
        <v>2267295</v>
      </c>
      <c r="X10" s="21">
        <f t="shared" si="24"/>
        <v>-1800389</v>
      </c>
      <c r="Y10" s="21">
        <f>K28</f>
        <v>36917619</v>
      </c>
      <c r="Z10" s="21">
        <f t="shared" ref="Z10:AA10" si="25">L28</f>
        <v>1100072</v>
      </c>
      <c r="AA10" s="21">
        <f t="shared" si="25"/>
        <v>-2508045</v>
      </c>
    </row>
    <row r="11" spans="1:27" s="16" customFormat="1" ht="19.5" x14ac:dyDescent="0.3">
      <c r="A11" s="2"/>
      <c r="B11" s="3" t="s">
        <v>17</v>
      </c>
      <c r="C11" s="2"/>
      <c r="D11" s="2"/>
      <c r="E11" s="2"/>
      <c r="F11" s="2"/>
      <c r="G11" s="3" t="s">
        <v>66</v>
      </c>
      <c r="H11" s="2"/>
      <c r="I11" s="2"/>
      <c r="J11" s="20" t="s">
        <v>26</v>
      </c>
      <c r="K11" s="19">
        <v>29542040</v>
      </c>
      <c r="L11" s="19">
        <v>1946150</v>
      </c>
      <c r="M11" s="19">
        <v>528216</v>
      </c>
      <c r="N11" s="19">
        <f t="shared" si="21"/>
        <v>3</v>
      </c>
      <c r="O11" s="19"/>
      <c r="P11" s="21">
        <f>K29</f>
        <v>10388800</v>
      </c>
      <c r="Q11" s="21">
        <f t="shared" ref="Q11:R11" si="26">L29</f>
        <v>963521</v>
      </c>
      <c r="R11" s="21">
        <f t="shared" si="26"/>
        <v>-179891</v>
      </c>
      <c r="S11" s="21">
        <f>K30</f>
        <v>22424155</v>
      </c>
      <c r="T11" s="21">
        <f t="shared" ref="T11:U11" si="27">L30</f>
        <v>2143693</v>
      </c>
      <c r="U11" s="21">
        <f t="shared" si="27"/>
        <v>82353</v>
      </c>
      <c r="V11" s="21">
        <f>K31</f>
        <v>35259776</v>
      </c>
      <c r="W11" s="21">
        <f t="shared" ref="W11:X11" si="28">L31</f>
        <v>3415147</v>
      </c>
      <c r="X11" s="21">
        <f t="shared" si="28"/>
        <v>239858</v>
      </c>
      <c r="Y11" s="21">
        <f>K32</f>
        <v>46159478</v>
      </c>
      <c r="Z11" s="21">
        <f t="shared" ref="Z11:AA11" si="29">L32</f>
        <v>4047226</v>
      </c>
      <c r="AA11" s="21">
        <f t="shared" si="29"/>
        <v>334806</v>
      </c>
    </row>
    <row r="12" spans="1:27" s="16" customFormat="1" x14ac:dyDescent="0.25">
      <c r="A12" s="2"/>
      <c r="B12" s="16" t="s">
        <v>10</v>
      </c>
      <c r="C12" s="9">
        <v>66892047</v>
      </c>
      <c r="D12" s="9">
        <v>77656812</v>
      </c>
      <c r="E12" s="4">
        <f>IF(D12&gt;C12,1,-1)</f>
        <v>1</v>
      </c>
      <c r="F12" s="2"/>
      <c r="G12" s="16" t="s">
        <v>14</v>
      </c>
      <c r="H12" s="9">
        <v>114270000000</v>
      </c>
      <c r="I12" s="2"/>
      <c r="J12" s="20" t="s">
        <v>27</v>
      </c>
      <c r="K12" s="19">
        <v>39863037</v>
      </c>
      <c r="L12" s="19">
        <v>2754423</v>
      </c>
      <c r="M12" s="19">
        <v>661989</v>
      </c>
      <c r="N12" s="19">
        <f t="shared" si="21"/>
        <v>3</v>
      </c>
      <c r="O12" s="19"/>
      <c r="P12" s="21">
        <f>K33</f>
        <v>10025661</v>
      </c>
      <c r="Q12" s="21">
        <f t="shared" ref="Q12:R12" si="30">L33</f>
        <v>990003</v>
      </c>
      <c r="R12" s="21">
        <f t="shared" si="30"/>
        <v>-948380</v>
      </c>
      <c r="S12" s="21">
        <f>K34</f>
        <v>20179714</v>
      </c>
      <c r="T12" s="21">
        <f t="shared" ref="T12:U12" si="31">L34</f>
        <v>1915140</v>
      </c>
      <c r="U12" s="21">
        <f t="shared" si="31"/>
        <v>-1139287</v>
      </c>
      <c r="V12" s="21">
        <f>K35</f>
        <v>30110543</v>
      </c>
      <c r="W12" s="21">
        <f t="shared" ref="W12:X12" si="32">L35</f>
        <v>2616604</v>
      </c>
      <c r="X12" s="21">
        <f t="shared" si="32"/>
        <v>-598728</v>
      </c>
      <c r="Y12" s="21">
        <f>K36</f>
        <v>39644010</v>
      </c>
      <c r="Z12" s="21">
        <f t="shared" ref="Z12:AA12" si="33">L36</f>
        <v>3183934</v>
      </c>
      <c r="AA12" s="21">
        <f t="shared" si="33"/>
        <v>-248492</v>
      </c>
    </row>
    <row r="13" spans="1:27" s="16" customFormat="1" x14ac:dyDescent="0.25">
      <c r="A13" s="2"/>
      <c r="B13" s="16" t="s">
        <v>11</v>
      </c>
      <c r="C13" s="9">
        <v>30751672</v>
      </c>
      <c r="D13" s="9">
        <v>30138476</v>
      </c>
      <c r="E13" s="4">
        <f t="shared" ref="E13:E14" si="34">IF(D13&gt;C13,1,-1)</f>
        <v>-1</v>
      </c>
      <c r="F13" s="2"/>
      <c r="G13" s="16" t="s">
        <v>15</v>
      </c>
      <c r="H13" s="12">
        <v>0.45266902096904099</v>
      </c>
      <c r="I13" s="2"/>
      <c r="J13" s="20" t="s">
        <v>28</v>
      </c>
      <c r="K13" s="19">
        <v>10553776</v>
      </c>
      <c r="L13" s="19">
        <v>654182</v>
      </c>
      <c r="M13" s="19">
        <v>-228325</v>
      </c>
      <c r="N13" s="19">
        <f t="shared" si="21"/>
        <v>3</v>
      </c>
      <c r="O13" s="19"/>
      <c r="P13" s="21">
        <f>K37</f>
        <v>9227541</v>
      </c>
      <c r="Q13" s="21">
        <f t="shared" ref="Q13:R13" si="35">L37</f>
        <v>473409</v>
      </c>
      <c r="R13" s="21">
        <f t="shared" si="35"/>
        <v>1174202</v>
      </c>
      <c r="S13" s="21">
        <f>K38</f>
        <v>17972374</v>
      </c>
      <c r="T13" s="21">
        <f t="shared" ref="T13:U13" si="36">L38</f>
        <v>1249195</v>
      </c>
      <c r="U13" s="21">
        <f t="shared" si="36"/>
        <v>1422009</v>
      </c>
      <c r="V13" s="21">
        <f>K39</f>
        <v>30194482</v>
      </c>
      <c r="W13" s="21">
        <f t="shared" ref="W13:X13" si="37">L39</f>
        <v>2628937</v>
      </c>
      <c r="X13" s="21">
        <f t="shared" si="37"/>
        <v>1529476</v>
      </c>
      <c r="Y13" s="21">
        <f>K40</f>
        <v>43814661</v>
      </c>
      <c r="Z13" s="21">
        <f t="shared" ref="Z13:AA13" si="38">L40</f>
        <v>5194385</v>
      </c>
      <c r="AA13" s="21">
        <f t="shared" si="38"/>
        <v>1975552</v>
      </c>
    </row>
    <row r="14" spans="1:27" s="16" customFormat="1" x14ac:dyDescent="0.25">
      <c r="A14" s="2"/>
      <c r="B14" s="16" t="s">
        <v>12</v>
      </c>
      <c r="C14" s="9">
        <v>36140375</v>
      </c>
      <c r="D14" s="9">
        <v>47518336</v>
      </c>
      <c r="E14" s="4">
        <f t="shared" si="34"/>
        <v>1</v>
      </c>
      <c r="F14" s="2"/>
      <c r="G14" s="16" t="s">
        <v>13</v>
      </c>
      <c r="H14" s="12">
        <v>0</v>
      </c>
      <c r="I14" s="2"/>
      <c r="J14" s="20" t="s">
        <v>29</v>
      </c>
      <c r="K14" s="19">
        <v>20996598</v>
      </c>
      <c r="L14" s="19">
        <v>1283747</v>
      </c>
      <c r="M14" s="19">
        <v>528837</v>
      </c>
      <c r="N14" s="19">
        <f t="shared" si="21"/>
        <v>3</v>
      </c>
      <c r="O14" s="19"/>
      <c r="P14" s="21">
        <f>K41</f>
        <v>16342984</v>
      </c>
      <c r="Q14" s="21">
        <f t="shared" ref="Q14:R14" si="39">L41</f>
        <v>3557887</v>
      </c>
      <c r="R14" s="21">
        <f t="shared" si="39"/>
        <v>-375332</v>
      </c>
      <c r="S14" s="21">
        <f>K42</f>
        <v>35473100</v>
      </c>
      <c r="T14" s="21">
        <f t="shared" ref="T14:U14" si="40">L42</f>
        <v>9120581</v>
      </c>
      <c r="U14" s="21">
        <f t="shared" si="40"/>
        <v>-1590976</v>
      </c>
      <c r="V14" s="21">
        <f>K43</f>
        <v>56790157</v>
      </c>
      <c r="W14" s="21">
        <f t="shared" ref="W14:X14" si="41">L43</f>
        <v>16509346</v>
      </c>
      <c r="X14" s="21">
        <f t="shared" si="41"/>
        <v>-641127</v>
      </c>
      <c r="Y14" s="21">
        <f>K44</f>
        <v>78345081</v>
      </c>
      <c r="Z14" s="21">
        <f t="shared" ref="Z14:AA14" si="42">L44</f>
        <v>21023022</v>
      </c>
      <c r="AA14" s="21">
        <f t="shared" si="42"/>
        <v>-456550</v>
      </c>
    </row>
    <row r="15" spans="1:27" s="16" customFormat="1" x14ac:dyDescent="0.25">
      <c r="A15" s="2"/>
      <c r="B15" s="2"/>
      <c r="C15" s="2"/>
      <c r="D15" s="2"/>
      <c r="E15" s="2"/>
      <c r="F15" s="2"/>
      <c r="G15" s="16" t="s">
        <v>69</v>
      </c>
      <c r="H15" s="14">
        <v>5.7804642453401698</v>
      </c>
      <c r="I15" s="2"/>
      <c r="J15" s="20" t="s">
        <v>30</v>
      </c>
      <c r="K15" s="19">
        <v>31702543</v>
      </c>
      <c r="L15" s="19">
        <v>1952555</v>
      </c>
      <c r="M15" s="19">
        <v>772871</v>
      </c>
      <c r="N15" s="19">
        <f t="shared" si="21"/>
        <v>3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</row>
    <row r="16" spans="1:27" s="16" customFormat="1" x14ac:dyDescent="0.25">
      <c r="A16" s="2"/>
      <c r="B16" s="2"/>
      <c r="C16" s="2"/>
      <c r="D16" s="2"/>
      <c r="E16" s="2"/>
      <c r="F16" s="2"/>
      <c r="G16" s="16" t="s">
        <v>16</v>
      </c>
      <c r="H16" s="13">
        <v>7.3443315989818796</v>
      </c>
      <c r="I16" s="2"/>
      <c r="J16" s="20" t="s">
        <v>31</v>
      </c>
      <c r="K16" s="19">
        <v>42546339</v>
      </c>
      <c r="L16" s="19">
        <v>2898986</v>
      </c>
      <c r="M16" s="19">
        <v>950747</v>
      </c>
      <c r="N16" s="19">
        <f t="shared" si="21"/>
        <v>3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</row>
    <row r="17" spans="1:27" s="16" customFormat="1" x14ac:dyDescent="0.25">
      <c r="A17" s="2"/>
      <c r="B17" s="2"/>
      <c r="C17" s="2"/>
      <c r="D17" s="2"/>
      <c r="E17" s="2"/>
      <c r="F17" s="2"/>
      <c r="G17" s="2"/>
      <c r="H17" s="2"/>
      <c r="I17" s="2"/>
      <c r="J17" s="20" t="s">
        <v>32</v>
      </c>
      <c r="K17" s="19">
        <v>10447376</v>
      </c>
      <c r="L17" s="19">
        <v>485240</v>
      </c>
      <c r="M17" s="19">
        <v>546193</v>
      </c>
      <c r="N17" s="19">
        <f t="shared" si="21"/>
        <v>1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</row>
    <row r="18" spans="1:27" s="16" customFormat="1" ht="12.7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0" t="s">
        <v>33</v>
      </c>
      <c r="K18" s="19">
        <v>21206767</v>
      </c>
      <c r="L18" s="19">
        <v>1043191</v>
      </c>
      <c r="M18" s="19">
        <v>740549</v>
      </c>
      <c r="N18" s="19">
        <f t="shared" si="21"/>
        <v>2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</row>
    <row r="19" spans="1:27" s="16" customFormat="1" ht="24" customHeight="1" x14ac:dyDescent="0.4">
      <c r="A19" s="2"/>
      <c r="B19" s="2"/>
      <c r="C19" s="2"/>
      <c r="D19" s="2"/>
      <c r="E19" s="2"/>
      <c r="F19" s="2"/>
      <c r="G19" s="3" t="s">
        <v>19</v>
      </c>
      <c r="H19" s="8" t="str">
        <f>IF(AND(D14&gt;0,SUM(E6:E8)=3,E9=-1),"BUY",IF(OR(SUM(E6:E9)&lt;0,D14&lt;0),"SELL",IF(AND(SUM(E6:E9)&lt;=2,SUM(E6:E9)&gt;=0),"OUT","KEEP IT")))</f>
        <v>KEEP IT</v>
      </c>
      <c r="I19" s="2"/>
      <c r="J19" s="20" t="s">
        <v>34</v>
      </c>
      <c r="K19" s="19">
        <v>33132112</v>
      </c>
      <c r="L19" s="19">
        <v>-230586</v>
      </c>
      <c r="M19" s="19">
        <v>2140557</v>
      </c>
      <c r="N19" s="19">
        <f t="shared" si="21"/>
        <v>2</v>
      </c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</row>
    <row r="20" spans="1:27" s="16" customFormat="1" x14ac:dyDescent="0.25">
      <c r="A20" s="2"/>
      <c r="B20" s="2"/>
      <c r="C20" s="2"/>
      <c r="D20" s="2"/>
      <c r="E20" s="2"/>
      <c r="F20" s="2"/>
      <c r="G20" s="2"/>
      <c r="H20" s="2" t="str">
        <f>IF(AND(H12&gt;500000000,H12&lt;5000000000),"(SMALLCAP)",IF(H12&lt;500000000,"(MICROCAP)",IF(AND(H12&gt;5000000000,H12&lt;12000000000),"(MIDCAP)","(LARGECAP)")))</f>
        <v>(LARGECAP)</v>
      </c>
      <c r="I20" s="2"/>
      <c r="J20" s="20" t="s">
        <v>35</v>
      </c>
      <c r="K20" s="19">
        <v>43581241</v>
      </c>
      <c r="L20" s="19">
        <v>-3215512</v>
      </c>
      <c r="M20" s="19">
        <v>2598109</v>
      </c>
      <c r="N20" s="19">
        <f t="shared" si="21"/>
        <v>2</v>
      </c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</row>
    <row r="21" spans="1:27" s="16" customFormat="1" ht="27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0" t="s">
        <v>36</v>
      </c>
      <c r="K21" s="19">
        <v>10084511</v>
      </c>
      <c r="L21" s="19">
        <v>201026</v>
      </c>
      <c r="M21" s="19">
        <v>-918055</v>
      </c>
      <c r="N21" s="19">
        <f t="shared" si="21"/>
        <v>0</v>
      </c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</row>
    <row r="22" spans="1:27" s="16" customFormat="1" x14ac:dyDescent="0.25">
      <c r="A22" s="2"/>
      <c r="B22" s="2"/>
      <c r="C22" s="2"/>
      <c r="D22" s="2"/>
      <c r="E22" s="2"/>
      <c r="F22" s="2"/>
      <c r="G22" s="2"/>
      <c r="H22" s="2"/>
      <c r="I22" s="2"/>
      <c r="J22" s="20" t="s">
        <v>37</v>
      </c>
      <c r="K22" s="19">
        <v>20333289</v>
      </c>
      <c r="L22" s="19">
        <v>629913</v>
      </c>
      <c r="M22" s="19">
        <v>-1838656</v>
      </c>
      <c r="N22" s="19">
        <f t="shared" si="21"/>
        <v>0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1:27" s="16" customFormat="1" x14ac:dyDescent="0.25">
      <c r="A23" s="2"/>
      <c r="B23" s="2"/>
      <c r="C23" s="2"/>
      <c r="D23" s="2"/>
      <c r="E23" s="2"/>
      <c r="F23" s="2"/>
      <c r="G23" s="2"/>
      <c r="H23" s="2"/>
      <c r="I23" s="2"/>
      <c r="J23" s="20" t="s">
        <v>38</v>
      </c>
      <c r="K23" s="19">
        <v>29032038</v>
      </c>
      <c r="L23" s="19">
        <v>1223280</v>
      </c>
      <c r="M23" s="19">
        <v>-1699455</v>
      </c>
      <c r="N23" s="19">
        <f t="shared" si="21"/>
        <v>1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1:27" s="16" customFormat="1" x14ac:dyDescent="0.25">
      <c r="A24" s="2"/>
      <c r="B24" s="2"/>
      <c r="C24" s="2"/>
      <c r="D24" s="2"/>
      <c r="E24" s="2"/>
      <c r="F24" s="2"/>
      <c r="G24" s="2"/>
      <c r="H24" s="2"/>
      <c r="I24" s="2"/>
      <c r="J24" s="20" t="s">
        <v>39</v>
      </c>
      <c r="K24" s="19">
        <v>37651667</v>
      </c>
      <c r="L24" s="19">
        <v>-1636360</v>
      </c>
      <c r="M24" s="19">
        <v>-584697</v>
      </c>
      <c r="N24" s="19">
        <f t="shared" si="21"/>
        <v>1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1:27" s="16" customFormat="1" x14ac:dyDescent="0.25">
      <c r="A25" s="2"/>
      <c r="B25" s="2"/>
      <c r="C25" s="2"/>
      <c r="D25" s="2"/>
      <c r="E25" s="2"/>
      <c r="F25" s="2"/>
      <c r="G25" s="2"/>
      <c r="H25" s="2"/>
      <c r="I25" s="2"/>
      <c r="J25" s="20" t="s">
        <v>40</v>
      </c>
      <c r="K25" s="19">
        <v>8458664</v>
      </c>
      <c r="L25" s="19">
        <v>1206805</v>
      </c>
      <c r="M25" s="19">
        <v>-587260</v>
      </c>
      <c r="N25" s="19">
        <f t="shared" si="21"/>
        <v>2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1:27" s="16" customFormat="1" x14ac:dyDescent="0.25">
      <c r="A26" s="2"/>
      <c r="B26" s="2"/>
      <c r="C26" s="2"/>
      <c r="D26" s="2"/>
      <c r="E26" s="2"/>
      <c r="F26" s="2"/>
      <c r="G26" s="2"/>
      <c r="H26" s="2"/>
      <c r="I26" s="2"/>
      <c r="J26" s="20" t="s">
        <v>41</v>
      </c>
      <c r="K26" s="19">
        <v>17624517</v>
      </c>
      <c r="L26" s="19">
        <v>1686895</v>
      </c>
      <c r="M26" s="19">
        <v>-757949</v>
      </c>
      <c r="N26" s="19">
        <f t="shared" si="21"/>
        <v>2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</row>
    <row r="27" spans="1:27" s="16" customFormat="1" x14ac:dyDescent="0.25">
      <c r="A27" s="2"/>
      <c r="B27" s="2"/>
      <c r="C27" s="2"/>
      <c r="D27" s="2"/>
      <c r="E27" s="2"/>
      <c r="F27" s="2"/>
      <c r="G27" s="2"/>
      <c r="H27" s="2"/>
      <c r="I27" s="2"/>
      <c r="J27" s="20" t="s">
        <v>42</v>
      </c>
      <c r="K27" s="19">
        <v>27100721</v>
      </c>
      <c r="L27" s="19">
        <v>2267295</v>
      </c>
      <c r="M27" s="19">
        <v>-1800389</v>
      </c>
      <c r="N27" s="19">
        <f t="shared" si="21"/>
        <v>1</v>
      </c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</row>
    <row r="28" spans="1:27" s="16" customFormat="1" x14ac:dyDescent="0.25">
      <c r="A28" s="2"/>
      <c r="B28" s="2"/>
      <c r="C28" s="2"/>
      <c r="D28" s="2"/>
      <c r="E28" s="2"/>
      <c r="F28" s="2"/>
      <c r="G28" s="2"/>
      <c r="H28" s="2"/>
      <c r="I28" s="2"/>
      <c r="J28" s="20" t="s">
        <v>43</v>
      </c>
      <c r="K28" s="19">
        <v>36917619</v>
      </c>
      <c r="L28" s="19">
        <v>1100072</v>
      </c>
      <c r="M28" s="19">
        <v>-2508045</v>
      </c>
      <c r="N28" s="19">
        <f t="shared" si="21"/>
        <v>1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</row>
    <row r="29" spans="1:27" s="16" customFormat="1" x14ac:dyDescent="0.25">
      <c r="A29" s="2"/>
      <c r="B29" s="2"/>
      <c r="C29" s="2"/>
      <c r="D29" s="2"/>
      <c r="E29" s="2"/>
      <c r="F29" s="2"/>
      <c r="G29" s="2"/>
      <c r="H29" s="2"/>
      <c r="I29" s="2"/>
      <c r="J29" s="20" t="s">
        <v>44</v>
      </c>
      <c r="K29" s="19">
        <v>10388800</v>
      </c>
      <c r="L29" s="19">
        <v>963521</v>
      </c>
      <c r="M29" s="19">
        <v>-179891</v>
      </c>
      <c r="N29" s="19">
        <f t="shared" si="21"/>
        <v>2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</row>
    <row r="30" spans="1:27" s="16" customFormat="1" x14ac:dyDescent="0.25">
      <c r="A30" s="2"/>
      <c r="B30" s="2"/>
      <c r="C30" s="2"/>
      <c r="D30" s="2"/>
      <c r="E30" s="2"/>
      <c r="F30" s="2"/>
      <c r="G30" s="2"/>
      <c r="H30" s="2"/>
      <c r="I30" s="2"/>
      <c r="J30" s="20" t="s">
        <v>45</v>
      </c>
      <c r="K30" s="19">
        <v>22424155</v>
      </c>
      <c r="L30" s="19">
        <v>2143693</v>
      </c>
      <c r="M30" s="19">
        <v>82353</v>
      </c>
      <c r="N30" s="19">
        <f t="shared" si="21"/>
        <v>3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</row>
    <row r="31" spans="1:27" s="16" customFormat="1" x14ac:dyDescent="0.25">
      <c r="A31" s="2"/>
      <c r="B31" s="2"/>
      <c r="C31" s="2"/>
      <c r="D31" s="2"/>
      <c r="E31" s="2"/>
      <c r="F31" s="2"/>
      <c r="G31" s="2"/>
      <c r="H31" s="2"/>
      <c r="I31" s="2"/>
      <c r="J31" s="20" t="s">
        <v>46</v>
      </c>
      <c r="K31" s="19">
        <v>35259776</v>
      </c>
      <c r="L31" s="19">
        <v>3415147</v>
      </c>
      <c r="M31" s="19">
        <v>239858</v>
      </c>
      <c r="N31" s="19">
        <f t="shared" si="21"/>
        <v>3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</row>
    <row r="32" spans="1:27" s="16" customFormat="1" x14ac:dyDescent="0.25">
      <c r="A32" s="2"/>
      <c r="B32" s="2"/>
      <c r="C32" s="2"/>
      <c r="D32" s="2"/>
      <c r="E32" s="2"/>
      <c r="F32" s="2"/>
      <c r="G32" s="2"/>
      <c r="H32" s="2"/>
      <c r="I32" s="2"/>
      <c r="J32" s="20" t="s">
        <v>47</v>
      </c>
      <c r="K32" s="19">
        <v>46159478</v>
      </c>
      <c r="L32" s="19">
        <v>4047226</v>
      </c>
      <c r="M32" s="19">
        <v>334806</v>
      </c>
      <c r="N32" s="19">
        <f t="shared" si="21"/>
        <v>3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</row>
    <row r="33" spans="1:27" s="16" customFormat="1" x14ac:dyDescent="0.25">
      <c r="A33" s="2"/>
      <c r="B33" s="2"/>
      <c r="C33" s="2"/>
      <c r="D33" s="2"/>
      <c r="E33" s="2"/>
      <c r="F33" s="2"/>
      <c r="G33" s="2"/>
      <c r="H33" s="2"/>
      <c r="I33" s="2"/>
      <c r="J33" s="20" t="s">
        <v>48</v>
      </c>
      <c r="K33" s="19">
        <v>10025661</v>
      </c>
      <c r="L33" s="19">
        <v>990003</v>
      </c>
      <c r="M33" s="19">
        <v>-948380</v>
      </c>
      <c r="N33" s="19">
        <f t="shared" si="21"/>
        <v>1</v>
      </c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</row>
    <row r="34" spans="1:27" s="16" customFormat="1" x14ac:dyDescent="0.25">
      <c r="A34" s="2"/>
      <c r="B34" s="2"/>
      <c r="C34" s="2"/>
      <c r="D34" s="2"/>
      <c r="E34" s="2"/>
      <c r="F34" s="2"/>
      <c r="G34" s="2"/>
      <c r="H34" s="2"/>
      <c r="I34" s="2"/>
      <c r="J34" s="20" t="s">
        <v>49</v>
      </c>
      <c r="K34" s="19">
        <v>20179714</v>
      </c>
      <c r="L34" s="19">
        <v>1915140</v>
      </c>
      <c r="M34" s="19">
        <v>-1139287</v>
      </c>
      <c r="N34" s="19">
        <f t="shared" si="21"/>
        <v>0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</row>
    <row r="35" spans="1:27" s="16" customFormat="1" x14ac:dyDescent="0.25">
      <c r="A35" s="2"/>
      <c r="B35" s="2"/>
      <c r="C35" s="2"/>
      <c r="D35" s="2"/>
      <c r="E35" s="2"/>
      <c r="F35" s="2"/>
      <c r="G35" s="2"/>
      <c r="H35" s="2"/>
      <c r="I35" s="2"/>
      <c r="J35" s="20" t="s">
        <v>50</v>
      </c>
      <c r="K35" s="19">
        <v>30110543</v>
      </c>
      <c r="L35" s="19">
        <v>2616604</v>
      </c>
      <c r="M35" s="19">
        <v>-598728</v>
      </c>
      <c r="N35" s="19">
        <f t="shared" si="21"/>
        <v>0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s="16" customFormat="1" x14ac:dyDescent="0.25">
      <c r="A36" s="2"/>
      <c r="B36" s="2"/>
      <c r="C36" s="2"/>
      <c r="D36" s="2"/>
      <c r="E36" s="2"/>
      <c r="F36" s="2"/>
      <c r="G36" s="2"/>
      <c r="H36" s="2"/>
      <c r="I36" s="2"/>
      <c r="J36" s="20" t="s">
        <v>51</v>
      </c>
      <c r="K36" s="19">
        <v>39644010</v>
      </c>
      <c r="L36" s="19">
        <v>3183934</v>
      </c>
      <c r="M36" s="19">
        <v>-248492</v>
      </c>
      <c r="N36" s="19">
        <f t="shared" si="21"/>
        <v>0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1:27" s="16" customFormat="1" x14ac:dyDescent="0.25">
      <c r="A37" s="2"/>
      <c r="B37" s="2"/>
      <c r="C37" s="2"/>
      <c r="D37" s="2"/>
      <c r="E37" s="2"/>
      <c r="F37" s="2"/>
      <c r="G37" s="2"/>
      <c r="H37" s="2"/>
      <c r="I37" s="2"/>
      <c r="J37" s="20" t="s">
        <v>52</v>
      </c>
      <c r="K37" s="19">
        <v>9227541</v>
      </c>
      <c r="L37" s="19">
        <v>473409</v>
      </c>
      <c r="M37" s="19">
        <v>1174202</v>
      </c>
      <c r="N37" s="19">
        <f t="shared" si="21"/>
        <v>1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</row>
    <row r="38" spans="1:27" s="16" customFormat="1" x14ac:dyDescent="0.25">
      <c r="A38" s="2"/>
      <c r="B38" s="2"/>
      <c r="C38" s="2"/>
      <c r="D38" s="2"/>
      <c r="E38" s="2"/>
      <c r="F38" s="2"/>
      <c r="G38" s="2"/>
      <c r="H38" s="2"/>
      <c r="I38" s="2"/>
      <c r="J38" s="20" t="s">
        <v>53</v>
      </c>
      <c r="K38" s="19">
        <v>17972374</v>
      </c>
      <c r="L38" s="19">
        <v>1249195</v>
      </c>
      <c r="M38" s="19">
        <v>1422009</v>
      </c>
      <c r="N38" s="19">
        <f t="shared" si="21"/>
        <v>1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1:27" s="16" customFormat="1" x14ac:dyDescent="0.25">
      <c r="A39" s="2"/>
      <c r="B39" s="2"/>
      <c r="C39" s="2"/>
      <c r="D39" s="2"/>
      <c r="E39" s="2"/>
      <c r="F39" s="2"/>
      <c r="G39" s="2"/>
      <c r="H39" s="2"/>
      <c r="I39" s="2"/>
      <c r="J39" s="20" t="s">
        <v>9</v>
      </c>
      <c r="K39" s="19">
        <v>30194482</v>
      </c>
      <c r="L39" s="19">
        <v>2628937</v>
      </c>
      <c r="M39" s="19">
        <v>1529476</v>
      </c>
      <c r="N39" s="19">
        <f t="shared" si="21"/>
        <v>3</v>
      </c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1:27" s="16" customFormat="1" x14ac:dyDescent="0.25">
      <c r="A40" s="2"/>
      <c r="B40" s="2"/>
      <c r="C40" s="2"/>
      <c r="D40" s="2"/>
      <c r="E40" s="2"/>
      <c r="F40" s="2"/>
      <c r="G40" s="2"/>
      <c r="H40" s="2"/>
      <c r="I40" s="2"/>
      <c r="J40" s="20" t="s">
        <v>54</v>
      </c>
      <c r="K40" s="19">
        <v>43814661</v>
      </c>
      <c r="L40" s="19">
        <v>5194385</v>
      </c>
      <c r="M40" s="19">
        <v>1975552</v>
      </c>
      <c r="N40" s="19">
        <f t="shared" si="21"/>
        <v>3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1:27" s="16" customFormat="1" x14ac:dyDescent="0.25">
      <c r="A41" s="2"/>
      <c r="B41" s="2"/>
      <c r="C41" s="2"/>
      <c r="D41" s="2"/>
      <c r="E41" s="2"/>
      <c r="F41" s="2"/>
      <c r="G41" s="2"/>
      <c r="H41" s="2"/>
      <c r="I41" s="2"/>
      <c r="J41" s="20" t="s">
        <v>55</v>
      </c>
      <c r="K41" s="19">
        <v>16342984</v>
      </c>
      <c r="L41" s="19">
        <v>3557887</v>
      </c>
      <c r="M41" s="19">
        <v>-375332</v>
      </c>
      <c r="N41" s="19">
        <f t="shared" si="21"/>
        <v>2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</row>
    <row r="42" spans="1:27" s="16" customFormat="1" x14ac:dyDescent="0.25">
      <c r="A42" s="2"/>
      <c r="B42" s="2"/>
      <c r="C42" s="2"/>
      <c r="D42" s="2"/>
      <c r="E42" s="2"/>
      <c r="F42" s="2"/>
      <c r="G42" s="2"/>
      <c r="H42" s="2"/>
      <c r="I42" s="2"/>
      <c r="J42" s="20" t="s">
        <v>56</v>
      </c>
      <c r="K42" s="19">
        <v>35473100</v>
      </c>
      <c r="L42" s="19">
        <v>9120581</v>
      </c>
      <c r="M42" s="19">
        <v>-1590976</v>
      </c>
      <c r="N42" s="19">
        <f t="shared" si="21"/>
        <v>2</v>
      </c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</row>
    <row r="43" spans="1:27" s="16" customFormat="1" x14ac:dyDescent="0.25">
      <c r="A43" s="2"/>
      <c r="B43" s="2"/>
      <c r="C43" s="2"/>
      <c r="D43" s="2"/>
      <c r="E43" s="2"/>
      <c r="F43" s="2"/>
      <c r="G43" s="2"/>
      <c r="H43" s="2"/>
      <c r="I43" s="2"/>
      <c r="J43" s="20" t="s">
        <v>8</v>
      </c>
      <c r="K43" s="19">
        <v>56790157</v>
      </c>
      <c r="L43" s="19">
        <v>16509346</v>
      </c>
      <c r="M43" s="19">
        <v>-641127</v>
      </c>
      <c r="N43" s="19">
        <f t="shared" si="21"/>
        <v>2</v>
      </c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</row>
    <row r="44" spans="1:27" s="16" customFormat="1" x14ac:dyDescent="0.25">
      <c r="A44" s="2"/>
      <c r="B44" s="2"/>
      <c r="C44" s="2"/>
      <c r="D44" s="2"/>
      <c r="E44" s="2"/>
      <c r="F44" s="2"/>
      <c r="G44" s="2"/>
      <c r="H44" s="2"/>
      <c r="I44" s="2"/>
      <c r="J44" s="20" t="s">
        <v>57</v>
      </c>
      <c r="K44" s="19">
        <v>78345081</v>
      </c>
      <c r="L44" s="19">
        <v>21023022</v>
      </c>
      <c r="M44" s="19">
        <v>-456550</v>
      </c>
      <c r="N44" s="19">
        <f t="shared" si="21"/>
        <v>2</v>
      </c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</sheetData>
  <sheetProtection sheet="1" objects="1" scenarios="1" selectLockedCells="1"/>
  <conditionalFormatting sqref="H19">
    <cfRule type="cellIs" dxfId="3" priority="5" operator="equal">
      <formula>"OUT"</formula>
    </cfRule>
    <cfRule type="cellIs" dxfId="2" priority="4" operator="equal">
      <formula>"BUY"</formula>
    </cfRule>
    <cfRule type="cellIs" dxfId="1" priority="3" operator="equal">
      <formula>"SELL"</formula>
    </cfRule>
    <cfRule type="cellIs" dxfId="0" priority="2" operator="equal">
      <formula>"KEEP IT"</formula>
    </cfRule>
    <cfRule type="iconSet" priority="1">
      <iconSet iconSet="4Rating">
        <cfvo type="percent" val="0"/>
        <cfvo type="percent" val="25"/>
        <cfvo type="percent" val="50"/>
        <cfvo type="percent" val="75"/>
      </iconSet>
    </cfRule>
  </conditionalFormatting>
  <pageMargins left="0.511811024" right="0.511811024" top="0.78740157499999996" bottom="0.78740157499999996" header="0.31496062000000002" footer="0.31496062000000002"/>
  <pageSetup paperSize="9" scale="42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" id="{00000000-000E-0000-0100-000006000000}">
            <x14:iconSet iconSet="3Arrow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iangles" iconId="0"/>
              <x14:cfIcon iconSet="3Triangles" iconId="1"/>
              <x14:cfIcon iconSet="3Triangles" iconId="2"/>
            </x14:iconSet>
          </x14:cfRule>
          <xm:sqref>E6:E9</xm:sqref>
        </x14:conditionalFormatting>
        <x14:conditionalFormatting xmlns:xm="http://schemas.microsoft.com/office/excel/2006/main">
          <x14:cfRule type="iconSet" priority="6" id="{00000000-000E-0000-0100-000001000000}">
            <x14:iconSet iconSet="3Arrow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iangles" iconId="0"/>
              <x14:cfIcon iconSet="3Triangles" iconId="1"/>
              <x14:cfIcon iconSet="3Triangles" iconId="2"/>
            </x14:iconSet>
          </x14:cfRule>
          <xm:sqref>E12:E14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Planilha2</vt:lpstr>
      <vt:lpstr>Planilha2!Area_de_impressao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Chamma</dc:creator>
  <cp:lastModifiedBy>Marcelo Chamma</cp:lastModifiedBy>
  <dcterms:created xsi:type="dcterms:W3CDTF">2022-01-22T14:15:12Z</dcterms:created>
  <dcterms:modified xsi:type="dcterms:W3CDTF">2022-12-08T19:47:07Z</dcterms:modified>
</cp:coreProperties>
</file>